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37A63EE7-654F-3FA9-A528-636911D70600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vtsi-my.sharepoint.us/personal/joaquim_pedroza_vts-i_com/Documents/Documents/Projects/VTS Inventory Site/CSC131-project-1/Artifacts/"/>
    </mc:Choice>
  </mc:AlternateContent>
  <xr:revisionPtr revIDLastSave="0" documentId="8_{DB198F16-220A-495C-80F4-524F72EA88CB}" xr6:coauthVersionLast="47" xr6:coauthVersionMax="47" xr10:uidLastSave="{00000000-0000-0000-0000-000000000000}"/>
  <bookViews>
    <workbookView xWindow="-120" yWindow="-120" windowWidth="29040" windowHeight="15840" tabRatio="1000" xr2:uid="{00000000-000D-0000-FFFF-FFFF00000000}"/>
  </bookViews>
  <sheets>
    <sheet name="Purchase Requisition" sheetId="1" r:id="rId1"/>
    <sheet name="Lookup" sheetId="3" state="hidden" r:id="rId2"/>
    <sheet name="Changelog" sheetId="2" r:id="rId3"/>
  </sheets>
  <definedNames>
    <definedName name="AERequired">Lookup!$C$13</definedName>
    <definedName name="AuthCalc">Lookup!$J$2:$O$23</definedName>
    <definedName name="AuthTitle">Lookup!$Q$2:$V$7</definedName>
    <definedName name="ExpenseType">Lookup!$B$2:$B$7</definedName>
    <definedName name="_xlnm.Print_Area" localSheetId="0">'Purchase Requisition'!$B$1:$M$50</definedName>
    <definedName name="_xlnm.Print_Titles" localSheetId="0">'Purchase Requisition'!$4:$10</definedName>
    <definedName name="PropClass">Lookup!$G$2:$G$6</definedName>
    <definedName name="ShipInPlace">Lookup!$F$38</definedName>
    <definedName name="Shipto">Lookup!$D$2:$D$6</definedName>
    <definedName name="SigReq">Lookup!$C$2:$C$3</definedName>
    <definedName name="SubClass">Lookup!$H$2:$H$9</definedName>
    <definedName name="voteup" localSheetId="1">Lookup!$A$26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0" i="1" l="1"/>
  <c r="G40" i="1"/>
  <c r="B36" i="1"/>
  <c r="I31" i="3" l="1"/>
  <c r="G44" i="1" s="1"/>
  <c r="I19" i="3"/>
  <c r="I11" i="3"/>
  <c r="I34" i="3"/>
  <c r="I15" i="3"/>
  <c r="I14" i="3"/>
  <c r="E44" i="1"/>
  <c r="M30" i="1" l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Y2" i="3" a="1"/>
  <c r="Y2" i="3" s="1"/>
  <c r="Z2" i="3" s="1"/>
  <c r="Z3" i="3" l="1"/>
  <c r="M29" i="1" l="1"/>
  <c r="M28" i="1"/>
  <c r="M27" i="1"/>
  <c r="M26" i="1"/>
  <c r="M25" i="1"/>
  <c r="A3" i="3" l="1"/>
  <c r="B48" i="1" l="1"/>
  <c r="A6" i="3"/>
  <c r="I2" i="3" l="1"/>
  <c r="I4" i="3" s="1"/>
  <c r="M11" i="1"/>
  <c r="M24" i="1"/>
  <c r="M23" i="1"/>
  <c r="M22" i="1"/>
  <c r="M21" i="1"/>
  <c r="M20" i="1"/>
  <c r="M19" i="1"/>
  <c r="A8" i="3" l="1"/>
  <c r="A7" i="3"/>
  <c r="M12" i="1"/>
  <c r="M13" i="1"/>
  <c r="M14" i="1"/>
  <c r="M15" i="1"/>
  <c r="M16" i="1"/>
  <c r="M17" i="1"/>
  <c r="M18" i="1"/>
  <c r="A10" i="3"/>
  <c r="A11" i="3" s="1"/>
  <c r="M32" i="1" l="1"/>
  <c r="A9" i="3"/>
  <c r="M36" i="1" l="1"/>
  <c r="A12" i="3"/>
  <c r="O5" i="1" s="1"/>
  <c r="I28" i="3" l="1"/>
  <c r="B44" i="1" s="1"/>
  <c r="I20" i="3"/>
  <c r="I23" i="3"/>
  <c r="I21" i="3"/>
  <c r="I22" i="3"/>
  <c r="I18" i="3"/>
  <c r="I10" i="3"/>
  <c r="K44" i="1" s="1"/>
  <c r="I3" i="3"/>
  <c r="I5" i="3" s="1"/>
  <c r="K48" i="1"/>
  <c r="G48" i="1"/>
  <c r="E4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<sst xmlns="http://schemas.openxmlformats.org/spreadsheetml/2006/main" count="331" uniqueCount="150">
  <si>
    <t>Date:</t>
  </si>
  <si>
    <t>Subtotal</t>
  </si>
  <si>
    <t>Total</t>
  </si>
  <si>
    <t>Line No.</t>
  </si>
  <si>
    <t>Requisition Number:</t>
  </si>
  <si>
    <t>Item Description</t>
  </si>
  <si>
    <t>Quantity</t>
  </si>
  <si>
    <t>Unit Price</t>
  </si>
  <si>
    <t>Total Price</t>
  </si>
  <si>
    <t>Requestor:</t>
  </si>
  <si>
    <t>Requestor's Signature</t>
  </si>
  <si>
    <t>M</t>
  </si>
  <si>
    <t>ST</t>
  </si>
  <si>
    <t>EQ</t>
  </si>
  <si>
    <r>
      <t xml:space="preserve">Notes </t>
    </r>
    <r>
      <rPr>
        <sz val="10"/>
        <rFont val="Tahoma"/>
        <family val="2"/>
      </rPr>
      <t>(Special Instructions, Contact Info, etc.)</t>
    </r>
  </si>
  <si>
    <t>Discount</t>
  </si>
  <si>
    <t>Shipping</t>
  </si>
  <si>
    <t>Vendor
Part Number</t>
  </si>
  <si>
    <t>Changelog</t>
  </si>
  <si>
    <t>Revision</t>
  </si>
  <si>
    <t>Date</t>
  </si>
  <si>
    <t>Author</t>
  </si>
  <si>
    <t>Description of Change</t>
  </si>
  <si>
    <t>A</t>
  </si>
  <si>
    <t>Ashley Luiz</t>
  </si>
  <si>
    <t>Initial import to PDM.</t>
  </si>
  <si>
    <t>N/A</t>
  </si>
  <si>
    <t>VTS 
Part Number</t>
  </si>
  <si>
    <t>(this is not a Purchase Order)</t>
  </si>
  <si>
    <t>Purchase Requisition</t>
  </si>
  <si>
    <t>Tax</t>
  </si>
  <si>
    <t>B</t>
  </si>
  <si>
    <t>[customer order specifications, delivery notes, quote references, etc..]</t>
  </si>
  <si>
    <t>Manufacturer 
Part Number</t>
  </si>
  <si>
    <t>Need by Date:</t>
  </si>
  <si>
    <r>
      <t xml:space="preserve">PO Ref: </t>
    </r>
    <r>
      <rPr>
        <sz val="8"/>
        <rFont val="Tahoma"/>
        <family val="2"/>
      </rPr>
      <t>(Procurement only)</t>
    </r>
  </si>
  <si>
    <t>PRNumGen</t>
  </si>
  <si>
    <t>Authorizations</t>
  </si>
  <si>
    <t>Required</t>
  </si>
  <si>
    <t>Not Required</t>
  </si>
  <si>
    <t>Supervisor Authorization</t>
  </si>
  <si>
    <t>2nd Level Management Authorization</t>
  </si>
  <si>
    <t>Program Manager Authorization</t>
  </si>
  <si>
    <t>Expense Type</t>
  </si>
  <si>
    <t>Charge No. &amp; Desc.:</t>
  </si>
  <si>
    <t>Expense Type:</t>
  </si>
  <si>
    <t>Direct</t>
  </si>
  <si>
    <t>Indirect</t>
  </si>
  <si>
    <t>B&amp;P Project</t>
  </si>
  <si>
    <t>Capital / Fixed Asset</t>
  </si>
  <si>
    <t>B&amp;P</t>
  </si>
  <si>
    <t>IR&amp;D</t>
  </si>
  <si>
    <t>Purchase Requester</t>
  </si>
  <si>
    <t>Program Manager</t>
  </si>
  <si>
    <t>Supervisor</t>
  </si>
  <si>
    <t>CEO or</t>
  </si>
  <si>
    <t>CFO</t>
  </si>
  <si>
    <t>Direct Project &lt; $10,000</t>
  </si>
  <si>
    <t>X</t>
  </si>
  <si>
    <t>Direct Project &gt;= $10,000</t>
  </si>
  <si>
    <t>Indirect Expense &lt; $5,000</t>
  </si>
  <si>
    <t>Indirect Expense &gt;= $5,000</t>
  </si>
  <si>
    <t>IR&amp;D Project &lt; $10,000</t>
  </si>
  <si>
    <t>IR&amp;D Project &gt;= $10,000</t>
  </si>
  <si>
    <t>Any Expense &gt; $100,000</t>
  </si>
  <si>
    <t>Capital</t>
  </si>
  <si>
    <t>AuthorizationCalculator</t>
  </si>
  <si>
    <t>Direct5k</t>
  </si>
  <si>
    <t>Direct10k</t>
  </si>
  <si>
    <t>Indirect10k</t>
  </si>
  <si>
    <t>Indirect5k</t>
  </si>
  <si>
    <t>IR&amp;D10k</t>
  </si>
  <si>
    <t>Direct100k</t>
  </si>
  <si>
    <t>Indirect100k</t>
  </si>
  <si>
    <t>IR&amp;D100k</t>
  </si>
  <si>
    <t>IR&amp;D5k</t>
  </si>
  <si>
    <t>CEO or CFO Authorization</t>
  </si>
  <si>
    <t>ShipTo</t>
  </si>
  <si>
    <t>Other - See Notes</t>
  </si>
  <si>
    <t>Ship to Location:</t>
  </si>
  <si>
    <t>Folsom, CA</t>
  </si>
  <si>
    <t>Reno, NV</t>
  </si>
  <si>
    <t>Dayton, OH</t>
  </si>
  <si>
    <t>Rome, NY</t>
  </si>
  <si>
    <t>TDS</t>
  </si>
  <si>
    <t>Approver1</t>
  </si>
  <si>
    <t>Approver2</t>
  </si>
  <si>
    <t>Approver3</t>
  </si>
  <si>
    <t>Approver4</t>
  </si>
  <si>
    <t>Approver5</t>
  </si>
  <si>
    <t>TDS5k</t>
  </si>
  <si>
    <t>TDS10k</t>
  </si>
  <si>
    <t>TDS100k</t>
  </si>
  <si>
    <t>CAM Authorization</t>
  </si>
  <si>
    <t>VP Authorization</t>
  </si>
  <si>
    <t>TDS1500k</t>
  </si>
  <si>
    <t>Direct1500k</t>
  </si>
  <si>
    <t>Indirect1500k</t>
  </si>
  <si>
    <t>IR&amp;D1500k</t>
  </si>
  <si>
    <t>PCA / Finance Manager</t>
  </si>
  <si>
    <t>CAM / Program Manager Authorization</t>
  </si>
  <si>
    <t>Director of Operations</t>
  </si>
  <si>
    <t>Division / Functional VP</t>
  </si>
  <si>
    <t>Chief Technical Officer</t>
  </si>
  <si>
    <t>Chief Financial Officer (CFO)</t>
  </si>
  <si>
    <t>Chief Technical Officer (CTO)</t>
  </si>
  <si>
    <t>Chief Executive Officer (CEO)</t>
  </si>
  <si>
    <t>A&amp;E / Energetics:</t>
  </si>
  <si>
    <t>Yes</t>
  </si>
  <si>
    <t>No</t>
  </si>
  <si>
    <t>A&amp;E / Ener</t>
  </si>
  <si>
    <t>Chief Financial Officer</t>
  </si>
  <si>
    <t>Voyager Board of Directors (BOD)</t>
  </si>
  <si>
    <t>B&amp;P (New Business)</t>
  </si>
  <si>
    <t>B&amp;P (Organic Growth)</t>
  </si>
  <si>
    <r>
      <t xml:space="preserve">Energetic's Lead Signature </t>
    </r>
    <r>
      <rPr>
        <sz val="8"/>
        <rFont val="Tahoma"/>
        <family val="2"/>
      </rPr>
      <t>(for HAZMAT orders)</t>
    </r>
  </si>
  <si>
    <t>Per suggestion 67 limited PR to single vendor suggestion and added functions to help prepopulate some fields.  Updated signing authoring levels based on RGarcia inputs. Plus general formatting adjustments.</t>
  </si>
  <si>
    <t>Prop Class</t>
  </si>
  <si>
    <t>Keith Sheridan
Xavier Van der Ploeg</t>
  </si>
  <si>
    <t>C</t>
  </si>
  <si>
    <t>SumArea</t>
  </si>
  <si>
    <t>x</t>
  </si>
  <si>
    <t xml:space="preserve"> Classification</t>
  </si>
  <si>
    <t>Prop</t>
  </si>
  <si>
    <t>Sub</t>
  </si>
  <si>
    <t>Sub Class</t>
  </si>
  <si>
    <t>COM</t>
  </si>
  <si>
    <t>AAE</t>
  </si>
  <si>
    <t>STE</t>
  </si>
  <si>
    <t>PM</t>
  </si>
  <si>
    <t>HAZ</t>
  </si>
  <si>
    <t>ME</t>
  </si>
  <si>
    <t>WIP</t>
  </si>
  <si>
    <t>CL</t>
  </si>
  <si>
    <t>Added capability to add Rows
Updated Prop Classification per AJohnson
Changed to Macro Enable Spreadsheet</t>
  </si>
  <si>
    <r>
      <t>2</t>
    </r>
    <r>
      <rPr>
        <b/>
        <vertAlign val="superscript"/>
        <sz val="10"/>
        <color theme="0" tint="-0.14999847407452621"/>
        <rFont val="Times New Roman"/>
        <family val="1"/>
      </rPr>
      <t>nd</t>
    </r>
    <r>
      <rPr>
        <b/>
        <sz val="10"/>
        <color theme="0" tint="-0.14999847407452621"/>
        <rFont val="Times New Roman"/>
        <family val="1"/>
      </rPr>
      <t xml:space="preserve"> Level Mgmt </t>
    </r>
    <r>
      <rPr>
        <b/>
        <vertAlign val="superscript"/>
        <sz val="10"/>
        <color theme="0" tint="-0.14999847407452621"/>
        <rFont val="Times New Roman"/>
        <family val="1"/>
      </rPr>
      <t>(1)</t>
    </r>
  </si>
  <si>
    <t>D</t>
  </si>
  <si>
    <t>Required - Prior to all other approvals (other than requestor)</t>
  </si>
  <si>
    <t>keith.sheridan</t>
  </si>
  <si>
    <r>
      <t xml:space="preserve">Req Number Suggestion </t>
    </r>
    <r>
      <rPr>
        <b/>
        <u/>
        <sz val="10"/>
        <color rgb="FFFF0000"/>
        <rFont val="Arial"/>
        <family val="2"/>
      </rPr>
      <t>(Cut/Paste Value into J6)</t>
    </r>
  </si>
  <si>
    <t>E</t>
  </si>
  <si>
    <t>Update instructions for clarity per request/suggestion of J Schmid
Corrected Finance signing authority logic</t>
  </si>
  <si>
    <t>Added AE Buyer statement to add to PO
Updated AE Approval to be first required
Updated auto formatting for required signatures</t>
  </si>
  <si>
    <t>Sr. Director of Administration</t>
  </si>
  <si>
    <r>
      <t xml:space="preserve">Sr. Director of Administration </t>
    </r>
    <r>
      <rPr>
        <sz val="10"/>
        <rFont val="Tahoma"/>
        <family val="2"/>
      </rPr>
      <t>(Margy)</t>
    </r>
  </si>
  <si>
    <t>F</t>
  </si>
  <si>
    <t>Added dropdown for IT related purchases
Added Sr Dir of Admin Approval box and logic for IT purchases</t>
  </si>
  <si>
    <t>Recommended Supplier:</t>
  </si>
  <si>
    <t>IT Equipment</t>
  </si>
  <si>
    <t>Buyer to add the following statement to this Purchase Order:  “The BUYER shall have the option to Ship-In-Place end items for up to one (1) year beyond the Purchase Order Due Date.  To execute this option, the Authorized BUYER procurement representative shall provide the SELLER written Ship-In-Place direction not later than seven (7) days prior to Purchase Order Due Date."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</si>
</sst>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@\ \ "/>
    <numFmt numFmtId="165" formatCode="_(* #,##0.0_);_(* \(#,##0.0\);_(* &quot;-&quot;??_);_(@_)"/>
    <numFmt numFmtId="166" formatCode="_(* #,##0_);_(* \(#,##0\);_(* &quot;-&quot;??_);_(@_)"/>
  </numFmts>
  <fonts count="37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Tahoma"/>
      <family val="2"/>
    </font>
    <font>
      <i/>
      <sz val="10"/>
      <name val="Tahoma"/>
      <family val="2"/>
    </font>
    <font>
      <b/>
      <sz val="16"/>
      <name val="Tahoma"/>
      <family val="2"/>
    </font>
    <font>
      <b/>
      <u/>
      <sz val="10"/>
      <color rgb="FFFF0000"/>
      <name val="Arial"/>
      <family val="2"/>
    </font>
    <font>
      <sz val="8"/>
      <name val="Tahoma"/>
      <family val="2"/>
    </font>
    <font>
      <b/>
      <i/>
      <u/>
      <sz val="10"/>
      <name val="Tahoma"/>
      <family val="2"/>
    </font>
    <font>
      <b/>
      <sz val="6"/>
      <name val="Tahoma"/>
      <family val="2"/>
    </font>
    <font>
      <b/>
      <sz val="24"/>
      <name val="Tahoma"/>
      <family val="2"/>
    </font>
    <font>
      <b/>
      <u/>
      <sz val="10"/>
      <name val="Tahoma"/>
      <family val="2"/>
    </font>
    <font>
      <sz val="8"/>
      <color theme="0" tint="-0.499984740745262"/>
      <name val="Tahoma"/>
      <family val="2"/>
    </font>
    <font>
      <sz val="10"/>
      <color rgb="FFFF0000"/>
      <name val="Tahoma"/>
      <family val="2"/>
    </font>
    <font>
      <sz val="8"/>
      <name val="Inherit"/>
    </font>
    <font>
      <sz val="12"/>
      <color rgb="FF0A0101"/>
      <name val="Segoe UI"/>
      <family val="2"/>
    </font>
    <font>
      <sz val="10"/>
      <name val="Arial Narrow"/>
      <family val="2"/>
    </font>
    <font>
      <sz val="10"/>
      <color theme="0" tint="-4.9989318521683403E-2"/>
      <name val="Arial"/>
      <family val="2"/>
    </font>
    <font>
      <sz val="10"/>
      <color rgb="FF000000"/>
      <name val="Arial"/>
      <family val="2"/>
    </font>
    <font>
      <i/>
      <sz val="10"/>
      <name val="Arial Narrow"/>
      <family val="2"/>
    </font>
    <font>
      <sz val="10"/>
      <color theme="1"/>
      <name val="Arial Narrow"/>
      <family val="2"/>
    </font>
    <font>
      <sz val="10"/>
      <name val="Inherit"/>
    </font>
    <font>
      <sz val="10"/>
      <color theme="0" tint="-0.14999847407452621"/>
      <name val="Arial"/>
      <family val="2"/>
    </font>
    <font>
      <b/>
      <sz val="10"/>
      <color theme="0" tint="-0.14999847407452621"/>
      <name val="Times New Roman"/>
      <family val="1"/>
    </font>
    <font>
      <b/>
      <vertAlign val="superscript"/>
      <sz val="10"/>
      <color theme="0" tint="-0.14999847407452621"/>
      <name val="Times New Roman"/>
      <family val="1"/>
    </font>
    <font>
      <sz val="10"/>
      <color theme="0" tint="-0.14999847407452621"/>
      <name val="Times New Roman"/>
      <family val="1"/>
    </font>
    <font>
      <b/>
      <sz val="10"/>
      <color theme="0" tint="-0.14999847407452621"/>
      <name val="Arial"/>
      <family val="2"/>
    </font>
    <font>
      <b/>
      <sz val="10"/>
      <name val="Arial Narrow"/>
      <family val="2"/>
    </font>
    <font>
      <sz val="8"/>
      <color rgb="FFFF0000"/>
      <name val="Tahoma"/>
      <family val="2"/>
    </font>
    <font>
      <b/>
      <sz val="10"/>
      <color theme="1"/>
      <name val="Tahoma"/>
      <family val="2"/>
    </font>
    <font>
      <b/>
      <sz val="6"/>
      <color rgb="FFFF0000"/>
      <name val="Arial Narrow"/>
      <family val="2"/>
    </font>
    <font>
      <b/>
      <i/>
      <sz val="10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EAEA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/>
      <diagonal/>
    </border>
    <border>
      <left style="thick">
        <color rgb="FF000000"/>
      </left>
      <right style="medium">
        <color indexed="64"/>
      </right>
      <top/>
      <bottom style="thick">
        <color rgb="FF000000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2">
    <xf numFmtId="0" fontId="0" fillId="0" borderId="0" xfId="0"/>
    <xf numFmtId="0" fontId="4" fillId="0" borderId="0" xfId="0" applyFont="1"/>
    <xf numFmtId="0" fontId="0" fillId="0" borderId="0" xfId="0" applyAlignment="1">
      <alignment horizontal="left" vertical="center" inden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14" fontId="1" fillId="0" borderId="0" xfId="0" applyNumberFormat="1" applyFont="1"/>
    <xf numFmtId="0" fontId="4" fillId="0" borderId="0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left" vertical="center" inden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4" fillId="0" borderId="0" xfId="0" applyFont="1" applyBorder="1" applyAlignment="1"/>
    <xf numFmtId="0" fontId="1" fillId="3" borderId="0" xfId="0" applyFont="1" applyFill="1"/>
    <xf numFmtId="44" fontId="4" fillId="0" borderId="0" xfId="2" applyFont="1" applyFill="1" applyBorder="1" applyAlignment="1" applyProtection="1">
      <alignment horizontal="center" vertical="center"/>
    </xf>
    <xf numFmtId="165" fontId="4" fillId="0" borderId="0" xfId="1" applyNumberFormat="1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1" fillId="0" borderId="0" xfId="0" applyFont="1" applyBorder="1" applyProtection="1"/>
    <xf numFmtId="164" fontId="3" fillId="0" borderId="0" xfId="0" applyNumberFormat="1" applyFont="1" applyBorder="1" applyAlignment="1" applyProtection="1">
      <alignment horizontal="right" vertical="center" indent="1"/>
    </xf>
    <xf numFmtId="44" fontId="4" fillId="0" borderId="0" xfId="0" applyNumberFormat="1" applyFont="1" applyFill="1" applyBorder="1" applyAlignment="1" applyProtection="1">
      <alignment horizontal="left" vertical="center" indent="1"/>
    </xf>
    <xf numFmtId="0" fontId="0" fillId="0" borderId="0" xfId="0" applyBorder="1" applyProtection="1"/>
    <xf numFmtId="0" fontId="1" fillId="0" borderId="0" xfId="0" applyFont="1" applyAlignment="1"/>
    <xf numFmtId="166" fontId="4" fillId="0" borderId="8" xfId="1" applyNumberFormat="1" applyFont="1" applyFill="1" applyBorder="1" applyAlignment="1" applyProtection="1">
      <alignment horizontal="left" vertical="center"/>
    </xf>
    <xf numFmtId="49" fontId="4" fillId="0" borderId="8" xfId="0" applyNumberFormat="1" applyFont="1" applyFill="1" applyBorder="1" applyAlignment="1" applyProtection="1">
      <alignment horizontal="left" vertical="center" indent="1"/>
    </xf>
    <xf numFmtId="0" fontId="1" fillId="0" borderId="8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vertical="center"/>
    </xf>
    <xf numFmtId="44" fontId="4" fillId="0" borderId="0" xfId="2" applyFont="1" applyFill="1" applyBorder="1" applyAlignment="1" applyProtection="1">
      <alignment horizontal="left" vertical="center"/>
    </xf>
    <xf numFmtId="44" fontId="4" fillId="0" borderId="11" xfId="0" applyNumberFormat="1" applyFont="1" applyFill="1" applyBorder="1" applyAlignment="1" applyProtection="1">
      <alignment horizontal="left" vertical="center"/>
    </xf>
    <xf numFmtId="164" fontId="4" fillId="0" borderId="0" xfId="0" applyNumberFormat="1" applyFont="1" applyBorder="1" applyAlignment="1">
      <alignment horizontal="right" vertical="center"/>
    </xf>
    <xf numFmtId="164" fontId="3" fillId="0" borderId="0" xfId="0" applyNumberFormat="1" applyFont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5" fillId="0" borderId="0" xfId="0" applyFont="1" applyAlignment="1"/>
    <xf numFmtId="0" fontId="4" fillId="0" borderId="0" xfId="0" applyFont="1" applyBorder="1" applyAlignment="1">
      <alignment horizontal="right" vertical="top"/>
    </xf>
    <xf numFmtId="0" fontId="15" fillId="0" borderId="0" xfId="0" applyFont="1" applyBorder="1" applyAlignment="1">
      <alignment horizontal="right" vertical="top"/>
    </xf>
    <xf numFmtId="0" fontId="5" fillId="5" borderId="0" xfId="0" applyFont="1" applyFill="1"/>
    <xf numFmtId="0" fontId="1" fillId="0" borderId="0" xfId="0" applyFont="1" applyAlignment="1">
      <alignment horizontal="left"/>
    </xf>
    <xf numFmtId="0" fontId="3" fillId="4" borderId="3" xfId="0" applyFont="1" applyFill="1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1" fillId="7" borderId="0" xfId="0" applyFont="1" applyFill="1" applyAlignment="1">
      <alignment horizontal="left" vertical="center" indent="1"/>
    </xf>
    <xf numFmtId="0" fontId="0" fillId="7" borderId="0" xfId="0" applyFill="1" applyAlignment="1">
      <alignment horizontal="left" vertical="center" indent="1"/>
    </xf>
    <xf numFmtId="0" fontId="7" fillId="7" borderId="0" xfId="0" applyFont="1" applyFill="1"/>
    <xf numFmtId="0" fontId="1" fillId="7" borderId="0" xfId="0" applyFont="1" applyFill="1" applyBorder="1" applyProtection="1"/>
    <xf numFmtId="0" fontId="0" fillId="7" borderId="0" xfId="0" applyFill="1" applyBorder="1" applyProtection="1"/>
    <xf numFmtId="0" fontId="1" fillId="7" borderId="0" xfId="0" applyFont="1" applyFill="1" applyAlignment="1">
      <alignment horizontal="center" vertical="center"/>
    </xf>
    <xf numFmtId="0" fontId="4" fillId="7" borderId="0" xfId="0" applyFont="1" applyFill="1" applyBorder="1"/>
    <xf numFmtId="0" fontId="16" fillId="7" borderId="0" xfId="0" applyFont="1" applyFill="1" applyBorder="1" applyAlignment="1">
      <alignment horizontal="left"/>
    </xf>
    <xf numFmtId="0" fontId="4" fillId="7" borderId="0" xfId="0" applyFont="1" applyFill="1"/>
    <xf numFmtId="0" fontId="18" fillId="7" borderId="0" xfId="0" applyFont="1" applyFill="1"/>
    <xf numFmtId="0" fontId="8" fillId="7" borderId="0" xfId="0" applyFont="1" applyFill="1"/>
    <xf numFmtId="0" fontId="3" fillId="7" borderId="0" xfId="0" applyFont="1" applyFill="1"/>
    <xf numFmtId="0" fontId="1" fillId="0" borderId="0" xfId="0" applyFont="1" applyFill="1"/>
    <xf numFmtId="0" fontId="19" fillId="0" borderId="0" xfId="0" applyFont="1" applyAlignment="1">
      <alignment horizontal="left" vertical="center"/>
    </xf>
    <xf numFmtId="0" fontId="20" fillId="0" borderId="0" xfId="0" applyFont="1"/>
    <xf numFmtId="0" fontId="5" fillId="0" borderId="0" xfId="0" applyFont="1"/>
    <xf numFmtId="0" fontId="5" fillId="0" borderId="7" xfId="0" applyFont="1" applyBorder="1" applyAlignment="1">
      <alignment horizontal="left"/>
    </xf>
    <xf numFmtId="0" fontId="16" fillId="7" borderId="0" xfId="0" applyFont="1" applyFill="1" applyAlignment="1">
      <alignment horizontal="left"/>
    </xf>
    <xf numFmtId="14" fontId="3" fillId="0" borderId="9" xfId="0" applyNumberFormat="1" applyFont="1" applyBorder="1" applyAlignment="1">
      <alignment vertical="center"/>
    </xf>
    <xf numFmtId="0" fontId="4" fillId="7" borderId="0" xfId="0" applyFont="1" applyFill="1" applyBorder="1" applyAlignment="1" applyProtection="1">
      <alignment horizontal="center"/>
    </xf>
    <xf numFmtId="0" fontId="1" fillId="7" borderId="0" xfId="0" applyFont="1" applyFill="1" applyProtection="1"/>
    <xf numFmtId="0" fontId="1" fillId="7" borderId="0" xfId="0" applyFont="1" applyFill="1" applyAlignment="1" applyProtection="1">
      <alignment horizontal="center" vertical="center"/>
    </xf>
    <xf numFmtId="0" fontId="4" fillId="7" borderId="0" xfId="0" applyFont="1" applyFill="1" applyBorder="1" applyProtection="1"/>
    <xf numFmtId="0" fontId="0" fillId="7" borderId="0" xfId="0" applyFill="1" applyProtection="1"/>
    <xf numFmtId="0" fontId="13" fillId="7" borderId="0" xfId="0" applyFont="1" applyFill="1" applyBorder="1" applyAlignment="1" applyProtection="1">
      <alignment horizontal="left"/>
    </xf>
    <xf numFmtId="0" fontId="4" fillId="7" borderId="0" xfId="0" applyFont="1" applyFill="1" applyProtection="1"/>
    <xf numFmtId="0" fontId="4" fillId="7" borderId="0" xfId="0" applyFont="1" applyFill="1" applyAlignment="1">
      <alignment horizontal="left"/>
    </xf>
    <xf numFmtId="0" fontId="1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Fill="1"/>
    <xf numFmtId="0" fontId="0" fillId="0" borderId="0" xfId="0" applyFill="1" applyProtection="1"/>
    <xf numFmtId="0" fontId="1" fillId="0" borderId="0" xfId="0" applyFont="1" applyFill="1" applyProtection="1"/>
    <xf numFmtId="0" fontId="4" fillId="0" borderId="0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center" vertical="center"/>
    </xf>
    <xf numFmtId="0" fontId="4" fillId="0" borderId="0" xfId="0" applyFont="1" applyFill="1" applyBorder="1" applyProtection="1"/>
    <xf numFmtId="0" fontId="22" fillId="0" borderId="0" xfId="0" applyFont="1"/>
    <xf numFmtId="0" fontId="17" fillId="0" borderId="0" xfId="0" applyFont="1" applyFill="1" applyBorder="1" applyAlignment="1" applyProtection="1">
      <alignment horizontal="left" vertical="top"/>
    </xf>
    <xf numFmtId="166" fontId="21" fillId="0" borderId="3" xfId="1" applyNumberFormat="1" applyFont="1" applyFill="1" applyBorder="1" applyAlignment="1">
      <alignment horizontal="left" vertical="center"/>
    </xf>
    <xf numFmtId="49" fontId="21" fillId="0" borderId="3" xfId="0" applyNumberFormat="1" applyFont="1" applyFill="1" applyBorder="1" applyAlignment="1" applyProtection="1">
      <alignment horizontal="left" vertical="center" indent="1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44" fontId="21" fillId="0" borderId="3" xfId="2" applyFont="1" applyFill="1" applyBorder="1" applyAlignment="1" applyProtection="1">
      <alignment horizontal="center" vertical="center"/>
      <protection locked="0"/>
    </xf>
    <xf numFmtId="165" fontId="21" fillId="0" borderId="3" xfId="1" applyNumberFormat="1" applyFont="1" applyFill="1" applyBorder="1" applyAlignment="1" applyProtection="1">
      <alignment horizontal="center" vertical="center"/>
      <protection locked="0"/>
    </xf>
    <xf numFmtId="44" fontId="21" fillId="0" borderId="3" xfId="2" applyFont="1" applyFill="1" applyBorder="1" applyAlignment="1" applyProtection="1">
      <alignment horizontal="left" vertical="center"/>
      <protection locked="0"/>
    </xf>
    <xf numFmtId="44" fontId="21" fillId="2" borderId="1" xfId="0" applyNumberFormat="1" applyFont="1" applyFill="1" applyBorder="1" applyAlignment="1">
      <alignment horizontal="left" vertical="center"/>
    </xf>
    <xf numFmtId="44" fontId="21" fillId="0" borderId="3" xfId="0" applyNumberFormat="1" applyFont="1" applyFill="1" applyBorder="1" applyAlignment="1" applyProtection="1">
      <alignment horizontal="left" vertical="center"/>
      <protection locked="0"/>
    </xf>
    <xf numFmtId="44" fontId="21" fillId="2" borderId="2" xfId="0" applyNumberFormat="1" applyFont="1" applyFill="1" applyBorder="1" applyAlignment="1">
      <alignment horizontal="left" vertical="center"/>
    </xf>
    <xf numFmtId="0" fontId="21" fillId="0" borderId="13" xfId="0" applyFont="1" applyBorder="1" applyAlignment="1" applyProtection="1">
      <alignment horizontal="left" indent="1"/>
      <protection locked="0"/>
    </xf>
    <xf numFmtId="0" fontId="4" fillId="0" borderId="0" xfId="0" applyFont="1" applyBorder="1" applyAlignment="1">
      <alignment horizontal="center"/>
    </xf>
    <xf numFmtId="0" fontId="21" fillId="0" borderId="0" xfId="0" applyFont="1"/>
    <xf numFmtId="0" fontId="25" fillId="0" borderId="0" xfId="0" applyFont="1"/>
    <xf numFmtId="0" fontId="5" fillId="0" borderId="0" xfId="0" applyFont="1" applyAlignment="1">
      <alignment horizontal="center"/>
    </xf>
    <xf numFmtId="14" fontId="3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49" fontId="21" fillId="0" borderId="12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/>
    </xf>
    <xf numFmtId="0" fontId="1" fillId="7" borderId="0" xfId="0" applyFont="1" applyFill="1" applyAlignment="1" applyProtection="1">
      <alignment horizontal="center"/>
    </xf>
    <xf numFmtId="0" fontId="1" fillId="7" borderId="0" xfId="0" applyFont="1" applyFill="1" applyAlignment="1">
      <alignment horizontal="center"/>
    </xf>
    <xf numFmtId="12" fontId="21" fillId="0" borderId="3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/>
    </xf>
    <xf numFmtId="1" fontId="27" fillId="0" borderId="0" xfId="0" applyNumberFormat="1" applyFont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/>
    <xf numFmtId="0" fontId="27" fillId="0" borderId="0" xfId="0" applyFont="1" applyAlignment="1">
      <alignment horizontal="center"/>
    </xf>
    <xf numFmtId="0" fontId="28" fillId="6" borderId="22" xfId="0" applyFont="1" applyFill="1" applyBorder="1" applyAlignment="1">
      <alignment horizontal="center" vertical="center" wrapText="1"/>
    </xf>
    <xf numFmtId="0" fontId="28" fillId="6" borderId="23" xfId="0" applyFont="1" applyFill="1" applyBorder="1" applyAlignment="1">
      <alignment horizontal="center" vertical="center" wrapText="1"/>
    </xf>
    <xf numFmtId="0" fontId="30" fillId="0" borderId="24" xfId="0" applyFont="1" applyBorder="1" applyAlignment="1">
      <alignment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20" xfId="0" applyFont="1" applyBorder="1" applyAlignment="1">
      <alignment vertical="center" wrapText="1"/>
    </xf>
    <xf numFmtId="0" fontId="30" fillId="0" borderId="21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1" fillId="5" borderId="0" xfId="0" applyFont="1" applyFill="1" applyAlignment="1">
      <alignment horizontal="center"/>
    </xf>
    <xf numFmtId="0" fontId="27" fillId="0" borderId="0" xfId="0" applyFont="1" applyFill="1"/>
    <xf numFmtId="0" fontId="31" fillId="5" borderId="0" xfId="0" applyFont="1" applyFill="1"/>
    <xf numFmtId="44" fontId="21" fillId="9" borderId="1" xfId="0" applyNumberFormat="1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 indent="1"/>
    </xf>
    <xf numFmtId="0" fontId="1" fillId="3" borderId="0" xfId="0" applyFont="1" applyFill="1" applyAlignment="1">
      <alignment horizontal="left" vertical="center" indent="2"/>
    </xf>
    <xf numFmtId="0" fontId="32" fillId="5" borderId="3" xfId="0" applyFont="1" applyFill="1" applyBorder="1" applyAlignment="1">
      <alignment horizontal="center" vertical="top"/>
    </xf>
    <xf numFmtId="0" fontId="21" fillId="0" borderId="3" xfId="0" applyFont="1" applyBorder="1" applyAlignment="1">
      <alignment horizontal="center" vertical="top"/>
    </xf>
    <xf numFmtId="14" fontId="21" fillId="0" borderId="3" xfId="0" applyNumberFormat="1" applyFont="1" applyBorder="1" applyAlignment="1">
      <alignment horizontal="center" vertical="top"/>
    </xf>
    <xf numFmtId="0" fontId="21" fillId="0" borderId="3" xfId="0" applyFont="1" applyBorder="1" applyAlignment="1">
      <alignment horizontal="left" vertical="top" indent="1"/>
    </xf>
    <xf numFmtId="0" fontId="21" fillId="0" borderId="3" xfId="0" applyFont="1" applyBorder="1" applyAlignment="1">
      <alignment horizontal="left" vertical="top" wrapText="1" inden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 indent="1"/>
    </xf>
    <xf numFmtId="0" fontId="21" fillId="0" borderId="0" xfId="0" applyFont="1" applyBorder="1"/>
    <xf numFmtId="0" fontId="21" fillId="0" borderId="3" xfId="0" applyFont="1" applyFill="1" applyBorder="1" applyAlignment="1">
      <alignment horizontal="center" vertical="top"/>
    </xf>
    <xf numFmtId="14" fontId="21" fillId="0" borderId="13" xfId="0" applyNumberFormat="1" applyFont="1" applyBorder="1" applyAlignment="1" applyProtection="1">
      <alignment horizontal="left" vertical="center" indent="1"/>
      <protection locked="0"/>
    </xf>
    <xf numFmtId="14" fontId="21" fillId="0" borderId="15" xfId="0" applyNumberFormat="1" applyFont="1" applyBorder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left"/>
      <protection locked="0"/>
    </xf>
    <xf numFmtId="0" fontId="5" fillId="0" borderId="0" xfId="0" applyFont="1" applyFill="1"/>
    <xf numFmtId="44" fontId="2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 applyProtection="1">
      <alignment vertical="center"/>
    </xf>
    <xf numFmtId="14" fontId="21" fillId="0" borderId="1" xfId="0" applyNumberFormat="1" applyFont="1" applyBorder="1" applyAlignment="1" applyProtection="1">
      <alignment vertical="center"/>
      <protection locked="0"/>
    </xf>
    <xf numFmtId="0" fontId="3" fillId="0" borderId="4" xfId="0" applyFont="1" applyBorder="1" applyAlignment="1">
      <alignment horizontal="left" vertical="center"/>
    </xf>
    <xf numFmtId="14" fontId="3" fillId="0" borderId="7" xfId="0" applyNumberFormat="1" applyFont="1" applyBorder="1" applyAlignment="1">
      <alignment vertical="center"/>
    </xf>
    <xf numFmtId="14" fontId="3" fillId="0" borderId="28" xfId="0" applyNumberFormat="1" applyFont="1" applyBorder="1" applyAlignment="1">
      <alignment vertical="center"/>
    </xf>
    <xf numFmtId="14" fontId="21" fillId="0" borderId="5" xfId="0" applyNumberFormat="1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 vertical="top"/>
    </xf>
    <xf numFmtId="0" fontId="3" fillId="4" borderId="10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left"/>
    </xf>
    <xf numFmtId="0" fontId="17" fillId="9" borderId="4" xfId="0" applyFont="1" applyFill="1" applyBorder="1" applyAlignment="1" applyProtection="1">
      <alignment horizontal="left" vertical="top"/>
    </xf>
    <xf numFmtId="0" fontId="17" fillId="9" borderId="28" xfId="0" applyFont="1" applyFill="1" applyBorder="1" applyAlignment="1" applyProtection="1">
      <alignment horizontal="left" vertical="top"/>
    </xf>
    <xf numFmtId="0" fontId="17" fillId="9" borderId="1" xfId="0" applyFont="1" applyFill="1" applyBorder="1" applyAlignment="1" applyProtection="1">
      <alignment horizontal="left" vertical="top"/>
    </xf>
    <xf numFmtId="0" fontId="17" fillId="9" borderId="7" xfId="0" applyFont="1" applyFill="1" applyBorder="1" applyAlignment="1" applyProtection="1">
      <alignment horizontal="left" vertical="top"/>
    </xf>
    <xf numFmtId="0" fontId="17" fillId="9" borderId="8" xfId="0" applyFont="1" applyFill="1" applyBorder="1" applyAlignment="1" applyProtection="1">
      <alignment horizontal="left" vertical="top"/>
    </xf>
    <xf numFmtId="0" fontId="17" fillId="9" borderId="9" xfId="0" applyFont="1" applyFill="1" applyBorder="1" applyAlignment="1" applyProtection="1">
      <alignment horizontal="left" vertical="top"/>
    </xf>
    <xf numFmtId="0" fontId="17" fillId="9" borderId="5" xfId="0" applyFont="1" applyFill="1" applyBorder="1" applyAlignment="1" applyProtection="1">
      <alignment horizontal="left" vertical="top"/>
    </xf>
    <xf numFmtId="0" fontId="17" fillId="9" borderId="0" xfId="0" applyFont="1" applyFill="1" applyBorder="1" applyAlignment="1" applyProtection="1">
      <alignment horizontal="left" vertical="top"/>
    </xf>
    <xf numFmtId="0" fontId="17" fillId="9" borderId="6" xfId="0" applyFont="1" applyFill="1" applyBorder="1" applyAlignment="1" applyProtection="1">
      <alignment horizontal="left" vertical="top"/>
    </xf>
    <xf numFmtId="0" fontId="17" fillId="9" borderId="13" xfId="0" applyFont="1" applyFill="1" applyBorder="1" applyAlignment="1" applyProtection="1">
      <alignment horizontal="left" vertical="top"/>
    </xf>
    <xf numFmtId="0" fontId="17" fillId="9" borderId="14" xfId="0" applyFont="1" applyFill="1" applyBorder="1" applyAlignment="1" applyProtection="1">
      <alignment horizontal="left" vertical="top"/>
    </xf>
    <xf numFmtId="0" fontId="17" fillId="9" borderId="15" xfId="0" applyFont="1" applyFill="1" applyBorder="1" applyAlignment="1" applyProtection="1">
      <alignment horizontal="left" vertical="top"/>
    </xf>
    <xf numFmtId="0" fontId="3" fillId="4" borderId="1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 wrapText="1" shrinkToFit="1"/>
    </xf>
    <xf numFmtId="49" fontId="21" fillId="0" borderId="10" xfId="0" applyNumberFormat="1" applyFont="1" applyBorder="1" applyAlignment="1" applyProtection="1">
      <alignment horizontal="left" vertical="center" wrapText="1" indent="1"/>
      <protection locked="0"/>
    </xf>
    <xf numFmtId="49" fontId="21" fillId="0" borderId="11" xfId="0" applyNumberFormat="1" applyFont="1" applyBorder="1" applyAlignment="1" applyProtection="1">
      <alignment horizontal="left" vertical="center" wrapText="1" indent="1"/>
      <protection locked="0"/>
    </xf>
    <xf numFmtId="49" fontId="21" fillId="0" borderId="12" xfId="0" applyNumberFormat="1" applyFont="1" applyBorder="1" applyAlignment="1" applyProtection="1">
      <alignment horizontal="left" vertical="center" wrapText="1" indent="1"/>
      <protection locked="0"/>
    </xf>
    <xf numFmtId="0" fontId="1" fillId="3" borderId="0" xfId="0" applyFont="1" applyFill="1" applyAlignment="1" applyProtection="1">
      <alignment horizontal="left" indent="1"/>
      <protection locked="0"/>
    </xf>
    <xf numFmtId="14" fontId="3" fillId="0" borderId="4" xfId="0" applyNumberFormat="1" applyFont="1" applyBorder="1" applyAlignment="1">
      <alignment horizontal="left" vertical="center"/>
    </xf>
    <xf numFmtId="0" fontId="21" fillId="0" borderId="5" xfId="0" applyNumberFormat="1" applyFont="1" applyBorder="1" applyAlignment="1" applyProtection="1">
      <alignment horizontal="left" vertical="center" indent="1"/>
      <protection locked="0"/>
    </xf>
    <xf numFmtId="0" fontId="21" fillId="0" borderId="6" xfId="0" applyFont="1" applyBorder="1" applyAlignment="1" applyProtection="1">
      <alignment horizontal="left" vertical="center" indent="1"/>
      <protection locked="0"/>
    </xf>
    <xf numFmtId="14" fontId="21" fillId="0" borderId="1" xfId="0" applyNumberFormat="1" applyFont="1" applyBorder="1" applyAlignment="1" applyProtection="1">
      <alignment horizontal="left" vertical="center" indent="1"/>
      <protection locked="0"/>
    </xf>
    <xf numFmtId="0" fontId="3" fillId="0" borderId="7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1" fillId="0" borderId="13" xfId="0" applyNumberFormat="1" applyFont="1" applyBorder="1" applyAlignment="1" applyProtection="1">
      <alignment horizontal="left" vertical="center" indent="1"/>
      <protection locked="0"/>
    </xf>
    <xf numFmtId="0" fontId="21" fillId="0" borderId="15" xfId="0" applyNumberFormat="1" applyFont="1" applyBorder="1" applyAlignment="1" applyProtection="1">
      <alignment horizontal="left" vertical="center" indent="1"/>
      <protection locked="0"/>
    </xf>
    <xf numFmtId="0" fontId="4" fillId="0" borderId="0" xfId="0" applyNumberFormat="1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14" fontId="21" fillId="0" borderId="13" xfId="0" applyNumberFormat="1" applyFont="1" applyBorder="1" applyAlignment="1" applyProtection="1">
      <alignment horizontal="left" vertical="center" indent="1"/>
      <protection locked="0"/>
    </xf>
    <xf numFmtId="14" fontId="21" fillId="0" borderId="15" xfId="0" applyNumberFormat="1" applyFont="1" applyBorder="1" applyAlignment="1" applyProtection="1">
      <alignment horizontal="left" vertical="center" indent="1"/>
      <protection locked="0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/>
    </xf>
    <xf numFmtId="0" fontId="34" fillId="4" borderId="3" xfId="0" applyFont="1" applyFill="1" applyBorder="1" applyAlignment="1">
      <alignment horizontal="left" vertical="center" wrapText="1"/>
    </xf>
    <xf numFmtId="0" fontId="33" fillId="8" borderId="3" xfId="0" applyFont="1" applyFill="1" applyBorder="1" applyAlignment="1">
      <alignment horizontal="left" vertical="top" wrapText="1"/>
    </xf>
    <xf numFmtId="0" fontId="35" fillId="8" borderId="0" xfId="0" applyFont="1" applyFill="1" applyBorder="1" applyAlignment="1">
      <alignment horizontal="left" vertical="center" wrapText="1"/>
    </xf>
    <xf numFmtId="0" fontId="35" fillId="8" borderId="6" xfId="0" applyFont="1" applyFill="1" applyBorder="1" applyAlignment="1">
      <alignment horizontal="left" vertical="center" wrapText="1"/>
    </xf>
    <xf numFmtId="0" fontId="35" fillId="8" borderId="14" xfId="0" applyFont="1" applyFill="1" applyBorder="1" applyAlignment="1">
      <alignment horizontal="left" vertical="center" wrapText="1"/>
    </xf>
    <xf numFmtId="0" fontId="35" fillId="8" borderId="15" xfId="0" applyFont="1" applyFill="1" applyBorder="1" applyAlignment="1">
      <alignment horizontal="left" vertical="center" wrapText="1"/>
    </xf>
    <xf numFmtId="0" fontId="24" fillId="0" borderId="3" xfId="0" applyFont="1" applyBorder="1" applyAlignment="1" applyProtection="1">
      <alignment horizontal="left" vertical="top" wrapText="1" indent="1"/>
      <protection locked="0"/>
    </xf>
    <xf numFmtId="0" fontId="36" fillId="0" borderId="8" xfId="0" applyFont="1" applyBorder="1" applyAlignment="1" applyProtection="1">
      <alignment horizontal="center" vertical="center" wrapText="1"/>
    </xf>
    <xf numFmtId="0" fontId="36" fillId="0" borderId="0" xfId="0" applyFont="1" applyBorder="1" applyAlignment="1" applyProtection="1">
      <alignment horizontal="center" vertical="center" wrapText="1"/>
    </xf>
    <xf numFmtId="0" fontId="17" fillId="9" borderId="7" xfId="0" applyFont="1" applyFill="1" applyBorder="1" applyAlignment="1" applyProtection="1">
      <alignment horizontal="left" vertical="top" wrapText="1"/>
    </xf>
    <xf numFmtId="0" fontId="17" fillId="9" borderId="8" xfId="0" applyFont="1" applyFill="1" applyBorder="1" applyAlignment="1" applyProtection="1">
      <alignment horizontal="left" vertical="top" wrapText="1"/>
    </xf>
    <xf numFmtId="0" fontId="17" fillId="9" borderId="9" xfId="0" applyFont="1" applyFill="1" applyBorder="1" applyAlignment="1" applyProtection="1">
      <alignment horizontal="left" vertical="top" wrapText="1"/>
    </xf>
    <xf numFmtId="0" fontId="17" fillId="9" borderId="5" xfId="0" applyFont="1" applyFill="1" applyBorder="1" applyAlignment="1" applyProtection="1">
      <alignment horizontal="left" vertical="top" wrapText="1"/>
    </xf>
    <xf numFmtId="0" fontId="17" fillId="9" borderId="0" xfId="0" applyFont="1" applyFill="1" applyBorder="1" applyAlignment="1" applyProtection="1">
      <alignment horizontal="left" vertical="top" wrapText="1"/>
    </xf>
    <xf numFmtId="0" fontId="17" fillId="9" borderId="6" xfId="0" applyFont="1" applyFill="1" applyBorder="1" applyAlignment="1" applyProtection="1">
      <alignment horizontal="left" vertical="top" wrapText="1"/>
    </xf>
    <xf numFmtId="0" fontId="17" fillId="9" borderId="13" xfId="0" applyFont="1" applyFill="1" applyBorder="1" applyAlignment="1" applyProtection="1">
      <alignment horizontal="left" vertical="top" wrapText="1"/>
    </xf>
    <xf numFmtId="0" fontId="17" fillId="9" borderId="14" xfId="0" applyFont="1" applyFill="1" applyBorder="1" applyAlignment="1" applyProtection="1">
      <alignment horizontal="left" vertical="top" wrapText="1"/>
    </xf>
    <xf numFmtId="0" fontId="17" fillId="9" borderId="15" xfId="0" applyFont="1" applyFill="1" applyBorder="1" applyAlignment="1" applyProtection="1">
      <alignment horizontal="left" vertical="top" wrapText="1"/>
    </xf>
    <xf numFmtId="0" fontId="3" fillId="4" borderId="1" xfId="0" applyFont="1" applyFill="1" applyBorder="1" applyAlignment="1">
      <alignment horizontal="left"/>
    </xf>
    <xf numFmtId="14" fontId="3" fillId="0" borderId="0" xfId="0" applyNumberFormat="1" applyFont="1" applyBorder="1" applyAlignment="1" applyProtection="1">
      <alignment horizontal="left" vertical="center"/>
    </xf>
    <xf numFmtId="14" fontId="3" fillId="0" borderId="6" xfId="0" applyNumberFormat="1" applyFont="1" applyBorder="1" applyAlignment="1" applyProtection="1">
      <alignment horizontal="left" vertical="center"/>
    </xf>
    <xf numFmtId="14" fontId="21" fillId="0" borderId="0" xfId="0" applyNumberFormat="1" applyFont="1" applyBorder="1" applyAlignment="1" applyProtection="1">
      <alignment horizontal="left" vertical="center" indent="1"/>
    </xf>
    <xf numFmtId="14" fontId="21" fillId="0" borderId="6" xfId="0" applyNumberFormat="1" applyFont="1" applyBorder="1" applyAlignment="1" applyProtection="1">
      <alignment horizontal="left" vertical="center" indent="1"/>
    </xf>
    <xf numFmtId="0" fontId="16" fillId="7" borderId="0" xfId="0" applyFont="1" applyFill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left"/>
    </xf>
    <xf numFmtId="0" fontId="3" fillId="4" borderId="15" xfId="0" applyFont="1" applyFill="1" applyBorder="1" applyAlignment="1">
      <alignment horizontal="left"/>
    </xf>
    <xf numFmtId="0" fontId="3" fillId="0" borderId="8" xfId="0" applyFont="1" applyBorder="1" applyAlignment="1">
      <alignment horizontal="left" vertical="center"/>
    </xf>
    <xf numFmtId="0" fontId="1" fillId="0" borderId="13" xfId="0" applyFont="1" applyBorder="1" applyAlignment="1" applyProtection="1">
      <alignment horizontal="left" indent="1"/>
      <protection locked="0"/>
    </xf>
    <xf numFmtId="0" fontId="1" fillId="0" borderId="14" xfId="0" applyFont="1" applyBorder="1" applyAlignment="1" applyProtection="1">
      <alignment horizontal="left" indent="1"/>
      <protection locked="0"/>
    </xf>
    <xf numFmtId="0" fontId="1" fillId="0" borderId="15" xfId="0" applyFont="1" applyBorder="1" applyAlignment="1" applyProtection="1">
      <alignment horizontal="left" indent="1"/>
      <protection locked="0"/>
    </xf>
    <xf numFmtId="0" fontId="28" fillId="6" borderId="19" xfId="0" applyFont="1" applyFill="1" applyBorder="1" applyAlignment="1">
      <alignment vertical="center" wrapText="1"/>
    </xf>
    <xf numFmtId="0" fontId="28" fillId="6" borderId="20" xfId="0" applyFont="1" applyFill="1" applyBorder="1" applyAlignment="1">
      <alignment vertical="center" wrapText="1"/>
    </xf>
    <xf numFmtId="0" fontId="28" fillId="6" borderId="26" xfId="0" applyFont="1" applyFill="1" applyBorder="1" applyAlignment="1">
      <alignment horizontal="center" vertical="center" wrapText="1"/>
    </xf>
    <xf numFmtId="0" fontId="28" fillId="6" borderId="27" xfId="0" applyFont="1" applyFill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</cellXfs>
  <cellStyles count="3">
    <cellStyle name="Comma" xfId="1" builtinId="3"/>
    <cellStyle name="Currency" xfId="2" builtinId="4"/>
    <cellStyle name="Normal" xfId="0" builtinId="0"/>
  </cellStyles>
  <dxfs count="7"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 val="0"/>
        <i val="0"/>
        <u val="none"/>
        <color rgb="FFFF0000"/>
      </font>
      <fill>
        <patternFill patternType="solid"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AFB487"/>
      <rgbColor rgb="0000FF00"/>
      <rgbColor rgb="000000FF"/>
      <rgbColor rgb="00FFFF00"/>
      <rgbColor rgb="00F0EBDC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990000"/>
      <rgbColor rgb="00CC99FF"/>
      <rgbColor rgb="0078916E"/>
      <rgbColor rgb="003366FF"/>
      <rgbColor rgb="0033CCCC"/>
      <rgbColor rgb="0099CC00"/>
      <rgbColor rgb="00FFCC00"/>
      <rgbColor rgb="00FF9900"/>
      <rgbColor rgb="007E7552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3323</xdr:colOff>
      <xdr:row>0</xdr:row>
      <xdr:rowOff>1</xdr:rowOff>
    </xdr:from>
    <xdr:to>
      <xdr:col>2</xdr:col>
      <xdr:colOff>878546</xdr:colOff>
      <xdr:row>1</xdr:row>
      <xdr:rowOff>201706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0417" t="17866" r="10294" b="16838"/>
        <a:stretch/>
      </xdr:blipFill>
      <xdr:spPr>
        <a:xfrm>
          <a:off x="798941" y="1"/>
          <a:ext cx="1211399" cy="582705"/>
        </a:xfrm>
        <a:prstGeom prst="rect">
          <a:avLst/>
        </a:prstGeom>
      </xdr:spPr>
    </xdr:pic>
    <xdr:clientData/>
  </xdr:twoCellAnchor>
  <xdr:twoCellAnchor>
    <xdr:from>
      <xdr:col>14</xdr:col>
      <xdr:colOff>115682</xdr:colOff>
      <xdr:row>0</xdr:row>
      <xdr:rowOff>106345</xdr:rowOff>
    </xdr:from>
    <xdr:to>
      <xdr:col>18</xdr:col>
      <xdr:colOff>87817</xdr:colOff>
      <xdr:row>2</xdr:row>
      <xdr:rowOff>100854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842888" y="106345"/>
          <a:ext cx="3322694" cy="599627"/>
        </a:xfrm>
        <a:prstGeom prst="rect">
          <a:avLst/>
        </a:prstGeom>
        <a:solidFill>
          <a:srgbClr val="FFFFCC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After</a:t>
          </a:r>
          <a:r>
            <a:rPr lang="en-US" sz="1100" baseline="0"/>
            <a:t> completing this form:</a:t>
          </a:r>
          <a:br>
            <a:rPr lang="en-US" sz="1100" baseline="0"/>
          </a:br>
          <a:r>
            <a:rPr lang="en-US" sz="1100" baseline="0"/>
            <a:t>1.  Export to PDF (Alt+F, A)</a:t>
          </a:r>
          <a:br>
            <a:rPr lang="en-US" sz="1100" baseline="0"/>
          </a:br>
          <a:r>
            <a:rPr lang="en-US" sz="1100" baseline="0"/>
            <a:t>2.  Digitally sign in Acrobat (with your SecureID card).</a:t>
          </a:r>
          <a:br>
            <a:rPr lang="en-US" sz="1100" baseline="0"/>
          </a:br>
          <a:r>
            <a:rPr lang="en-US" sz="1100" baseline="0"/>
            <a:t>3.  Forward to Next Approver.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</xdr:row>
          <xdr:rowOff>114300</xdr:rowOff>
        </xdr:from>
        <xdr:to>
          <xdr:col>0</xdr:col>
          <xdr:colOff>676275</xdr:colOff>
          <xdr:row>33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115682</xdr:colOff>
      <xdr:row>10</xdr:row>
      <xdr:rowOff>37350</xdr:rowOff>
    </xdr:from>
    <xdr:to>
      <xdr:col>21</xdr:col>
      <xdr:colOff>40979</xdr:colOff>
      <xdr:row>53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3842888" y="2076821"/>
          <a:ext cx="5091209" cy="82998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 u="sng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Instructions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br>
            <a:rPr lang="en-US" sz="1000">
              <a:latin typeface="Arial Narrow" panose="020B0606020202030204" pitchFamily="34" charset="0"/>
            </a:rPr>
          </a:b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Requestor: 	Person requesting materials/services (Requestor may not be same as Approver)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Date: 	Date that Requisition is created 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Charge No: 	Direct: Provide Job ID, WBS, Program Name (ie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21302.5000 - Home Run); </a:t>
          </a:r>
        </a:p>
        <a:p>
          <a:pPr lvl="2"/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Indirect: Indicate Aero, ISR, or G&amp;A then OHD (not the percentage split for charges being split between programs i.e., ISR O/H 50%, Aero O/H 50%)</a:t>
          </a:r>
        </a:p>
        <a:p>
          <a:r>
            <a:rPr lang="en-US" sz="1000">
              <a:latin typeface="Arial Narrow" panose="020B0606020202030204" pitchFamily="34" charset="0"/>
            </a:rPr>
            <a:t>Expense</a:t>
          </a:r>
          <a:r>
            <a:rPr lang="en-US" sz="1000" baseline="0">
              <a:latin typeface="Arial Narrow" panose="020B0606020202030204" pitchFamily="34" charset="0"/>
            </a:rPr>
            <a:t> Type:	See below</a:t>
          </a:r>
          <a:endParaRPr lang="en-US" sz="1000">
            <a:latin typeface="Arial Narrow" panose="020B0606020202030204" pitchFamily="34" charset="0"/>
          </a:endParaRPr>
        </a:p>
        <a:p>
          <a:r>
            <a:rPr lang="en-US" sz="1000">
              <a:latin typeface="Arial Narrow" panose="020B0606020202030204" pitchFamily="34" charset="0"/>
            </a:rPr>
            <a:t>Req Number:	Requestor First, middle, last initials, 4-digit Year, 2-digit Month, 2-digit 	</a:t>
          </a:r>
        </a:p>
        <a:p>
          <a:r>
            <a:rPr lang="en-US" sz="1000">
              <a:latin typeface="Arial Narrow" panose="020B0606020202030204" pitchFamily="34" charset="0"/>
            </a:rPr>
            <a:t>	Day, Alpha  "A" for first PR of the day. Example (i.e., DCB20130416A)</a:t>
          </a:r>
          <a:br>
            <a:rPr lang="en-US" sz="1000">
              <a:latin typeface="Arial Narrow" panose="020B0606020202030204" pitchFamily="34" charset="0"/>
            </a:rPr>
          </a:br>
          <a:r>
            <a:rPr lang="en-US" sz="1000">
              <a:latin typeface="Arial Narrow" panose="020B0606020202030204" pitchFamily="34" charset="0"/>
            </a:rPr>
            <a:t>	</a:t>
          </a:r>
          <a:r>
            <a:rPr lang="en-US" sz="1000" i="1">
              <a:latin typeface="Arial Narrow" panose="020B0606020202030204" pitchFamily="34" charset="0"/>
            </a:rPr>
            <a:t>NOTE:  Req Number Suggestion above</a:t>
          </a:r>
          <a:r>
            <a:rPr lang="en-US" sz="1000" i="1" baseline="0">
              <a:latin typeface="Arial Narrow" panose="020B0606020202030204" pitchFamily="34" charset="0"/>
            </a:rPr>
            <a:t> cannot auto-calc middle initial or Alpha.</a:t>
          </a:r>
          <a:endParaRPr lang="en-US" sz="1000" i="1">
            <a:latin typeface="Arial Narrow" panose="020B0606020202030204" pitchFamily="34" charset="0"/>
          </a:endParaRPr>
        </a:p>
        <a:p>
          <a:r>
            <a:rPr lang="en-US" sz="1000">
              <a:latin typeface="Arial Narrow" panose="020B0606020202030204" pitchFamily="34" charset="0"/>
            </a:rPr>
            <a:t>A&amp;E/Energetics:	Select</a:t>
          </a:r>
          <a:r>
            <a:rPr lang="en-US" sz="1000" baseline="0">
              <a:latin typeface="Arial Narrow" panose="020B0606020202030204" pitchFamily="34" charset="0"/>
            </a:rPr>
            <a:t> "Yes" from dropdown for all propellants, initiators etc.</a:t>
          </a:r>
        </a:p>
        <a:p>
          <a:r>
            <a:rPr lang="en-US" sz="1000" baseline="0">
              <a:latin typeface="Arial Narrow" panose="020B0606020202030204" pitchFamily="34" charset="0"/>
            </a:rPr>
            <a:t>IT Equipment	Select "Yes' from drop down for all IT (Information Technology) equipment purchases</a:t>
          </a:r>
          <a:endParaRPr lang="en-US" sz="1000">
            <a:latin typeface="Arial Narrow" panose="020B0606020202030204" pitchFamily="34" charset="0"/>
          </a:endParaRPr>
        </a:p>
        <a:p>
          <a:r>
            <a:rPr lang="en-US" sz="1000">
              <a:latin typeface="Arial Narrow" panose="020B0606020202030204" pitchFamily="34" charset="0"/>
            </a:rPr>
            <a:t>Need by Date: 	When items are needed</a:t>
          </a:r>
        </a:p>
        <a:p>
          <a:r>
            <a:rPr lang="en-US" sz="1000">
              <a:latin typeface="Arial Narrow" panose="020B0606020202030204" pitchFamily="34" charset="0"/>
            </a:rPr>
            <a:t>Rec'd Vendor: 	Enter desired vendor </a:t>
          </a:r>
        </a:p>
        <a:p>
          <a:r>
            <a:rPr lang="en-US" sz="1000">
              <a:latin typeface="Arial Narrow" panose="020B0606020202030204" pitchFamily="34" charset="0"/>
            </a:rPr>
            <a:t>Ship to Location:	Select from dropdown; (Corp) Folsom, (NV) Reno, (OH) Dayton, (NY) Rome,</a:t>
          </a:r>
          <a:r>
            <a:rPr lang="en-US" sz="1000" baseline="0">
              <a:latin typeface="Arial Narrow" panose="020B0606020202030204" pitchFamily="34" charset="0"/>
            </a:rPr>
            <a:t> </a:t>
          </a:r>
        </a:p>
        <a:p>
          <a:r>
            <a:rPr lang="en-US" sz="1000" baseline="0">
              <a:latin typeface="Arial Narrow" panose="020B0606020202030204" pitchFamily="34" charset="0"/>
            </a:rPr>
            <a:t>	If Other, enter Ship to Location in the Notes field</a:t>
          </a:r>
          <a:endParaRPr lang="en-US" sz="1000">
            <a:latin typeface="Arial Narrow" panose="020B0606020202030204" pitchFamily="34" charset="0"/>
          </a:endParaRPr>
        </a:p>
        <a:p>
          <a:r>
            <a:rPr lang="en-US" sz="1000">
              <a:latin typeface="Arial Narrow" panose="020B0606020202030204" pitchFamily="34" charset="0"/>
            </a:rPr>
            <a:t> </a:t>
          </a:r>
          <a:endParaRPr lang="en-US" sz="1000" b="1" i="0" u="sng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000" b="1" i="0" u="sng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Expense Type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Direct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Material, products or services that are purchases expensed to a contract via a VTS 	project account(s) and are only to be used for that specific contract.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Indirect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Material, products or services that are purchased for internal use; 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IR&amp;D	Material, products or services purchased for Independent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Research &amp; 	Development Programs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B&amp;P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	Material, products or services purchased for Business Development</a:t>
          </a:r>
          <a:r>
            <a:rPr lang="en-US" sz="1000" baseline="0">
              <a:latin typeface="Arial Narrow" panose="020B0606020202030204" pitchFamily="34" charset="0"/>
            </a:rPr>
            <a:t> &amp; Proposals</a:t>
          </a:r>
          <a:endParaRPr lang="en-US" sz="1000">
            <a:latin typeface="Arial Narrow" panose="020B0606020202030204" pitchFamily="34" charset="0"/>
          </a:endParaRPr>
        </a:p>
        <a:p>
          <a:endParaRPr lang="en-US" sz="1000" b="1" i="0" u="sng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defTabSz="457200"/>
          <a:r>
            <a:rPr lang="en-US" sz="1000" b="1" i="0" u="sng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Purchase</a:t>
          </a:r>
          <a:r>
            <a:rPr lang="en-US" sz="1000" b="1" i="0" u="sng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Req Line Entry (enter one of the following)</a:t>
          </a:r>
          <a:endParaRPr lang="en-US" sz="1000" b="1" i="0" u="sng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VTS Part No: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Enter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a VTS Part number if one has been created, otherwise leave blank.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Mfr. Part No: 	Enter a manufacturer's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part number if available, otherwise leave blank.</a:t>
          </a:r>
          <a:endParaRPr lang="en-US" sz="1000" b="0" i="0" u="none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Vendor Part No: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Enter vendor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part number if available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Item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Description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:	Enter description of material or source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Classification:	See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below as applicable</a:t>
          </a:r>
          <a:endParaRPr lang="en-US" sz="1000" b="0" i="0" u="none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Quantity:	Enter quantity to be ordered	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Unit Price: 	Enter unit price of individual item or service</a:t>
          </a:r>
        </a:p>
        <a:p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Notes field:	Add any notes or references like quotes, URL links, end user of S/W, special 	instructions, or any other notes to the buyer</a:t>
          </a:r>
        </a:p>
        <a:p>
          <a:pPr marL="0" marR="0" lvl="0" indent="0" defTabSz="4572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000">
            <a:effectLst/>
          </a:endParaRPr>
        </a:p>
        <a:p>
          <a:pPr marL="0" marR="0" lvl="0" indent="0" defTabSz="4572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If applicable enter</a:t>
          </a:r>
          <a:r>
            <a:rPr lang="en-US" sz="1000" b="0" i="0" u="none" strike="noStrike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the following: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</a:t>
          </a:r>
        </a:p>
        <a:p>
          <a:pPr marL="0" marR="0" lvl="0" indent="0" defTabSz="4572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sng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Property Classification </a:t>
          </a:r>
        </a:p>
        <a:p>
          <a:pPr defTabSz="457200"/>
          <a:r>
            <a:rPr lang="en-US" sz="1000" b="0" i="0" u="none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(* For Government Property only; Specify the type of item being purchased)</a:t>
          </a:r>
          <a:r>
            <a:rPr lang="en-US" sz="1000" u="none">
              <a:solidFill>
                <a:srgbClr val="FF0000"/>
              </a:solidFill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EQ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Equipment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; Items that can be used on various programs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Material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; Raw material or consumables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STE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Special Test Equipment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; Program specific components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ST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Special Tooling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; Program specific tooling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N/A	STE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1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Special Test Equipment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; Program specific components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endParaRPr lang="en-US" sz="1000" b="1" i="0" u="sng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</a:t>
          </a:r>
          <a:r>
            <a:rPr lang="en-US" sz="1000" b="1" i="0" u="sng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Sub Classification</a:t>
          </a:r>
          <a:endParaRPr lang="en-US" sz="1000" b="0" i="0" u="sng" strike="noStrike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defTabSz="457200"/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</a:t>
          </a:r>
          <a:r>
            <a:rPr lang="en-US" sz="1000" b="0" i="0" u="none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(when applicable, list one of the follwing sub classifications for each lin item)</a:t>
          </a:r>
          <a:r>
            <a:rPr lang="en-US" sz="1000" u="none">
              <a:solidFill>
                <a:srgbClr val="FF0000"/>
              </a:solidFill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 u="none">
              <a:solidFill>
                <a:srgbClr val="FF0000"/>
              </a:solidFill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COM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Computers, perifpheral, etc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AAE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Arms, Ammunition, Explosives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PM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Precious metals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HAZ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Hazardous Material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ME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Metals in mill product form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defTabSz="457200"/>
          <a:r>
            <a:rPr lang="en-US" sz="1000" b="1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	WIP</a:t>
          </a:r>
          <a:r>
            <a:rPr lang="en-US" sz="1000">
              <a:latin typeface="Arial Narrow" panose="020B0606020202030204" pitchFamily="34" charset="0"/>
            </a:rPr>
            <a:t> 	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Work in process</a:t>
          </a:r>
          <a:r>
            <a:rPr lang="en-US" sz="1000">
              <a:latin typeface="Arial Narrow" panose="020B0606020202030204" pitchFamily="34" charset="0"/>
            </a:rPr>
            <a:t> </a:t>
          </a:r>
          <a:r>
            <a:rPr lang="en-US" sz="1000" b="0" i="0" u="none" strike="noStrike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  <a:r>
            <a:rPr lang="en-US" sz="1000">
              <a:latin typeface="Arial Narrow" panose="020B0606020202030204" pitchFamily="34" charset="0"/>
            </a:rPr>
            <a:t>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Classified</a:t>
          </a:r>
          <a:endParaRPr lang="en-US">
            <a:effectLst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1"/>
  <sheetViews>
    <sheetView showGridLines="0" tabSelected="1" zoomScale="85" zoomScaleNormal="85" workbookViewId="0">
      <pane ySplit="10" topLeftCell="A11" activePane="bottomLeft" state="frozenSplit"/>
      <selection pane="bottomLeft" activeCell="B5" sqref="B5:C5"/>
    </sheetView>
  </sheetViews>
  <sheetFormatPr defaultRowHeight="12.75"/>
  <cols>
    <col min="1" max="1" width="11.85546875" customWidth="1"/>
    <col min="2" max="2" width="5" style="6" bestFit="1" customWidth="1"/>
    <col min="3" max="5" width="20.140625" style="6" bestFit="1" customWidth="1"/>
    <col min="6" max="6" width="24.42578125" style="6" customWidth="1"/>
    <col min="7" max="8" width="18.7109375" style="6" customWidth="1"/>
    <col min="9" max="9" width="5.7109375" style="11" customWidth="1"/>
    <col min="10" max="10" width="5.7109375" style="7" customWidth="1"/>
    <col min="11" max="12" width="14.7109375" style="6" customWidth="1"/>
    <col min="13" max="13" width="20.7109375" style="6" customWidth="1"/>
    <col min="14" max="14" width="5" style="6" customWidth="1"/>
    <col min="15" max="15" width="11.5703125" style="41" customWidth="1"/>
    <col min="16" max="16" width="20.42578125" style="41" customWidth="1"/>
    <col min="17" max="20" width="9.140625" style="41"/>
    <col min="21" max="27" width="9.140625" style="42"/>
    <col min="28" max="28" width="213.42578125" style="42" customWidth="1"/>
  </cols>
  <sheetData>
    <row r="1" spans="2:28" ht="30">
      <c r="B1" s="34"/>
      <c r="C1" s="35"/>
      <c r="D1" s="35"/>
      <c r="E1" s="35"/>
      <c r="F1" s="35"/>
      <c r="G1" s="35"/>
      <c r="H1" s="35"/>
      <c r="I1" s="93"/>
      <c r="J1" s="93"/>
      <c r="K1" s="35"/>
      <c r="L1" s="35"/>
      <c r="M1" s="37" t="s">
        <v>29</v>
      </c>
    </row>
    <row r="2" spans="2:28" ht="18" customHeight="1">
      <c r="B2" s="3"/>
      <c r="C2" s="25"/>
      <c r="D2" s="25"/>
      <c r="E2" s="25"/>
      <c r="F2" s="25"/>
      <c r="G2" s="25"/>
      <c r="H2" s="25"/>
      <c r="J2" s="11"/>
      <c r="K2" s="25"/>
      <c r="L2" s="25"/>
      <c r="M2" s="36" t="s">
        <v>28</v>
      </c>
    </row>
    <row r="3" spans="2:28" ht="15" customHeight="1">
      <c r="B3" s="5"/>
      <c r="C3" s="172"/>
      <c r="D3" s="172"/>
      <c r="E3" s="173"/>
      <c r="F3" s="12"/>
      <c r="G3" s="5"/>
      <c r="H3" s="10"/>
      <c r="I3" s="90"/>
      <c r="J3" s="4"/>
      <c r="K3" s="5"/>
      <c r="L3" s="5"/>
      <c r="M3" s="1"/>
    </row>
    <row r="4" spans="2:28" s="2" customFormat="1" ht="15" customHeight="1">
      <c r="B4" s="168" t="s">
        <v>9</v>
      </c>
      <c r="C4" s="169"/>
      <c r="D4" s="138" t="s">
        <v>0</v>
      </c>
      <c r="E4" s="168" t="s">
        <v>44</v>
      </c>
      <c r="F4" s="212"/>
      <c r="G4" s="169"/>
      <c r="H4" s="61" t="s">
        <v>45</v>
      </c>
      <c r="I4" s="94"/>
      <c r="J4" s="204"/>
      <c r="K4" s="205"/>
      <c r="L4" s="168" t="s">
        <v>4</v>
      </c>
      <c r="M4" s="169"/>
      <c r="N4" s="8"/>
      <c r="O4" s="119" t="s">
        <v>139</v>
      </c>
      <c r="P4" s="120"/>
      <c r="Q4" s="16"/>
      <c r="R4" s="16"/>
      <c r="S4" s="43"/>
      <c r="T4" s="43"/>
      <c r="U4" s="44"/>
      <c r="V4" s="44"/>
      <c r="W4" s="44"/>
      <c r="X4" s="44"/>
      <c r="Y4" s="44"/>
      <c r="Z4" s="44"/>
      <c r="AA4" s="44"/>
      <c r="AB4" s="44"/>
    </row>
    <row r="5" spans="2:28" ht="15" customHeight="1">
      <c r="B5" s="165"/>
      <c r="C5" s="166"/>
      <c r="D5" s="130"/>
      <c r="E5" s="213"/>
      <c r="F5" s="214"/>
      <c r="G5" s="215"/>
      <c r="H5" s="131"/>
      <c r="I5" s="140"/>
      <c r="J5" s="206"/>
      <c r="K5" s="207"/>
      <c r="L5" s="170"/>
      <c r="M5" s="171"/>
      <c r="O5" s="163" t="str">
        <f ca="1">Lookup!A12</f>
        <v>KS20230920</v>
      </c>
      <c r="P5" s="163"/>
      <c r="Q5" s="16"/>
      <c r="R5" s="16"/>
    </row>
    <row r="6" spans="2:28" ht="15" customHeight="1">
      <c r="B6" s="164" t="s">
        <v>107</v>
      </c>
      <c r="C6" s="164"/>
      <c r="D6" s="137" t="s">
        <v>148</v>
      </c>
      <c r="E6" s="139" t="s">
        <v>34</v>
      </c>
      <c r="F6" s="174" t="s">
        <v>147</v>
      </c>
      <c r="G6" s="175"/>
      <c r="H6" s="59" t="s">
        <v>79</v>
      </c>
      <c r="I6" s="95"/>
      <c r="J6" s="204"/>
      <c r="K6" s="205"/>
      <c r="L6" s="168" t="s">
        <v>35</v>
      </c>
      <c r="M6" s="169"/>
    </row>
    <row r="7" spans="2:28" ht="15" customHeight="1">
      <c r="B7" s="167" t="s">
        <v>109</v>
      </c>
      <c r="C7" s="167"/>
      <c r="D7" s="136" t="s">
        <v>109</v>
      </c>
      <c r="E7" s="136"/>
      <c r="F7" s="176"/>
      <c r="G7" s="177"/>
      <c r="H7" s="89"/>
      <c r="I7" s="141"/>
      <c r="J7" s="206"/>
      <c r="K7" s="207"/>
      <c r="L7" s="170"/>
      <c r="M7" s="171"/>
    </row>
    <row r="8" spans="2:28" ht="8.25" customHeight="1">
      <c r="B8" s="5"/>
      <c r="C8" s="5"/>
      <c r="D8" s="5"/>
      <c r="E8" s="15"/>
      <c r="F8" s="15"/>
      <c r="G8" s="15"/>
      <c r="H8" s="15"/>
      <c r="I8" s="90"/>
      <c r="J8" s="4"/>
      <c r="K8" s="10"/>
      <c r="L8" s="5"/>
      <c r="M8" s="10"/>
    </row>
    <row r="9" spans="2:28" ht="15" customHeight="1">
      <c r="B9" s="209" t="s">
        <v>3</v>
      </c>
      <c r="C9" s="209" t="s">
        <v>27</v>
      </c>
      <c r="D9" s="209" t="s">
        <v>33</v>
      </c>
      <c r="E9" s="209" t="s">
        <v>17</v>
      </c>
      <c r="F9" s="178" t="s">
        <v>5</v>
      </c>
      <c r="G9" s="179"/>
      <c r="H9" s="180"/>
      <c r="I9" s="159" t="s">
        <v>122</v>
      </c>
      <c r="J9" s="159"/>
      <c r="K9" s="158" t="s">
        <v>6</v>
      </c>
      <c r="L9" s="158" t="s">
        <v>7</v>
      </c>
      <c r="M9" s="158" t="s">
        <v>8</v>
      </c>
    </row>
    <row r="10" spans="2:28" s="6" customFormat="1" ht="15" customHeight="1">
      <c r="B10" s="209"/>
      <c r="C10" s="209"/>
      <c r="D10" s="209"/>
      <c r="E10" s="209"/>
      <c r="F10" s="181"/>
      <c r="G10" s="182"/>
      <c r="H10" s="183"/>
      <c r="I10" s="40" t="s">
        <v>123</v>
      </c>
      <c r="J10" s="40" t="s">
        <v>124</v>
      </c>
      <c r="K10" s="158"/>
      <c r="L10" s="158"/>
      <c r="M10" s="158"/>
      <c r="O10" s="50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</row>
    <row r="11" spans="2:28" ht="18" customHeight="1">
      <c r="B11" s="80">
        <v>1</v>
      </c>
      <c r="C11" s="81"/>
      <c r="D11" s="81"/>
      <c r="E11" s="81"/>
      <c r="F11" s="160"/>
      <c r="G11" s="161"/>
      <c r="H11" s="162"/>
      <c r="I11" s="96"/>
      <c r="J11" s="83"/>
      <c r="K11" s="84"/>
      <c r="L11" s="85"/>
      <c r="M11" s="86">
        <f t="shared" ref="M11" si="0">K11*L11</f>
        <v>0</v>
      </c>
      <c r="O11" s="67"/>
      <c r="P11" s="62"/>
      <c r="Q11" s="51"/>
    </row>
    <row r="12" spans="2:28" ht="18" customHeight="1">
      <c r="B12" s="80">
        <f t="shared" ref="B12:B30" si="1">B11+1</f>
        <v>2</v>
      </c>
      <c r="C12" s="81"/>
      <c r="D12" s="82"/>
      <c r="E12" s="81"/>
      <c r="F12" s="160"/>
      <c r="G12" s="161"/>
      <c r="H12" s="162"/>
      <c r="I12" s="101"/>
      <c r="J12" s="83"/>
      <c r="K12" s="84"/>
      <c r="L12" s="85"/>
      <c r="M12" s="86">
        <f t="shared" ref="M12:M18" si="2">K12*L12</f>
        <v>0</v>
      </c>
      <c r="O12" s="68"/>
      <c r="P12" s="68"/>
      <c r="Q12" s="51"/>
    </row>
    <row r="13" spans="2:28" ht="18" customHeight="1">
      <c r="B13" s="80">
        <f t="shared" si="1"/>
        <v>3</v>
      </c>
      <c r="C13" s="81"/>
      <c r="D13" s="82"/>
      <c r="E13" s="81"/>
      <c r="F13" s="160"/>
      <c r="G13" s="161"/>
      <c r="H13" s="162"/>
      <c r="I13" s="101"/>
      <c r="J13" s="83"/>
      <c r="K13" s="84"/>
      <c r="L13" s="85"/>
      <c r="M13" s="86">
        <f t="shared" si="2"/>
        <v>0</v>
      </c>
      <c r="N13" s="9"/>
      <c r="O13" s="68"/>
      <c r="P13" s="68"/>
      <c r="Q13" s="51"/>
    </row>
    <row r="14" spans="2:28" ht="18" customHeight="1">
      <c r="B14" s="80">
        <f t="shared" si="1"/>
        <v>4</v>
      </c>
      <c r="C14" s="81"/>
      <c r="D14" s="82"/>
      <c r="E14" s="81"/>
      <c r="F14" s="160"/>
      <c r="G14" s="161"/>
      <c r="H14" s="162"/>
      <c r="I14" s="101"/>
      <c r="J14" s="83"/>
      <c r="K14" s="84"/>
      <c r="L14" s="85"/>
      <c r="M14" s="86">
        <f t="shared" si="2"/>
        <v>0</v>
      </c>
      <c r="O14" s="68"/>
      <c r="P14" s="68"/>
      <c r="Q14" s="51"/>
    </row>
    <row r="15" spans="2:28" ht="18" customHeight="1">
      <c r="B15" s="80">
        <f t="shared" si="1"/>
        <v>5</v>
      </c>
      <c r="C15" s="81"/>
      <c r="D15" s="82"/>
      <c r="E15" s="81"/>
      <c r="F15" s="160"/>
      <c r="G15" s="161"/>
      <c r="H15" s="162"/>
      <c r="I15" s="101"/>
      <c r="J15" s="83"/>
      <c r="K15" s="84"/>
      <c r="L15" s="85"/>
      <c r="M15" s="86">
        <f t="shared" si="2"/>
        <v>0</v>
      </c>
      <c r="O15" s="68"/>
      <c r="P15" s="68"/>
      <c r="Q15" s="51"/>
    </row>
    <row r="16" spans="2:28" ht="18" customHeight="1">
      <c r="B16" s="80">
        <f t="shared" si="1"/>
        <v>6</v>
      </c>
      <c r="C16" s="81"/>
      <c r="D16" s="82"/>
      <c r="E16" s="81"/>
      <c r="F16" s="160"/>
      <c r="G16" s="161"/>
      <c r="H16" s="162"/>
      <c r="I16" s="101"/>
      <c r="J16" s="83"/>
      <c r="K16" s="84"/>
      <c r="L16" s="85"/>
      <c r="M16" s="86">
        <f t="shared" si="2"/>
        <v>0</v>
      </c>
      <c r="O16" s="68"/>
      <c r="P16" s="68"/>
      <c r="Q16" s="52"/>
      <c r="R16" s="45"/>
      <c r="S16" s="45"/>
    </row>
    <row r="17" spans="1:23" ht="18" customHeight="1">
      <c r="B17" s="80">
        <f t="shared" si="1"/>
        <v>7</v>
      </c>
      <c r="C17" s="81"/>
      <c r="D17" s="82"/>
      <c r="E17" s="81"/>
      <c r="F17" s="160"/>
      <c r="G17" s="161"/>
      <c r="H17" s="162"/>
      <c r="I17" s="101"/>
      <c r="J17" s="83"/>
      <c r="K17" s="84"/>
      <c r="L17" s="85"/>
      <c r="M17" s="86">
        <f t="shared" si="2"/>
        <v>0</v>
      </c>
      <c r="O17" s="68"/>
      <c r="P17" s="68"/>
      <c r="Q17" s="51"/>
    </row>
    <row r="18" spans="1:23" ht="18" customHeight="1">
      <c r="B18" s="80">
        <f t="shared" si="1"/>
        <v>8</v>
      </c>
      <c r="C18" s="81"/>
      <c r="D18" s="82"/>
      <c r="E18" s="81"/>
      <c r="F18" s="160"/>
      <c r="G18" s="161"/>
      <c r="H18" s="162"/>
      <c r="I18" s="101"/>
      <c r="J18" s="83"/>
      <c r="K18" s="84"/>
      <c r="L18" s="85"/>
      <c r="M18" s="86">
        <f t="shared" si="2"/>
        <v>0</v>
      </c>
      <c r="Q18" s="51"/>
    </row>
    <row r="19" spans="1:23" ht="18" customHeight="1">
      <c r="B19" s="80">
        <f t="shared" si="1"/>
        <v>9</v>
      </c>
      <c r="C19" s="81"/>
      <c r="D19" s="82"/>
      <c r="E19" s="81"/>
      <c r="F19" s="160"/>
      <c r="G19" s="161"/>
      <c r="H19" s="162"/>
      <c r="I19" s="101"/>
      <c r="J19" s="83"/>
      <c r="K19" s="84"/>
      <c r="L19" s="85"/>
      <c r="M19" s="86">
        <f t="shared" ref="M19:M24" si="3">K19*L19</f>
        <v>0</v>
      </c>
      <c r="O19" s="50"/>
      <c r="P19" s="51"/>
      <c r="Q19" s="51"/>
    </row>
    <row r="20" spans="1:23" ht="18" customHeight="1">
      <c r="B20" s="80">
        <f t="shared" si="1"/>
        <v>10</v>
      </c>
      <c r="C20" s="81"/>
      <c r="D20" s="82"/>
      <c r="E20" s="81"/>
      <c r="F20" s="160"/>
      <c r="G20" s="161"/>
      <c r="H20" s="162"/>
      <c r="I20" s="101"/>
      <c r="J20" s="83"/>
      <c r="K20" s="84"/>
      <c r="L20" s="85"/>
      <c r="M20" s="86">
        <f t="shared" si="3"/>
        <v>0</v>
      </c>
      <c r="O20" s="51"/>
      <c r="P20" s="51"/>
      <c r="Q20" s="51"/>
    </row>
    <row r="21" spans="1:23" ht="18" customHeight="1">
      <c r="B21" s="80">
        <f t="shared" si="1"/>
        <v>11</v>
      </c>
      <c r="C21" s="81"/>
      <c r="D21" s="82"/>
      <c r="E21" s="81"/>
      <c r="F21" s="160"/>
      <c r="G21" s="161"/>
      <c r="H21" s="162"/>
      <c r="I21" s="101"/>
      <c r="J21" s="83"/>
      <c r="K21" s="84"/>
      <c r="L21" s="85"/>
      <c r="M21" s="118">
        <f t="shared" si="3"/>
        <v>0</v>
      </c>
      <c r="O21" s="51"/>
      <c r="P21" s="51"/>
      <c r="Q21" s="51"/>
    </row>
    <row r="22" spans="1:23" ht="18" customHeight="1">
      <c r="B22" s="80">
        <f t="shared" si="1"/>
        <v>12</v>
      </c>
      <c r="C22" s="81"/>
      <c r="D22" s="82"/>
      <c r="E22" s="81"/>
      <c r="F22" s="160"/>
      <c r="G22" s="161"/>
      <c r="H22" s="162"/>
      <c r="I22" s="101"/>
      <c r="J22" s="83"/>
      <c r="K22" s="84"/>
      <c r="L22" s="85"/>
      <c r="M22" s="86">
        <f t="shared" si="3"/>
        <v>0</v>
      </c>
      <c r="O22" s="49"/>
      <c r="P22" s="51"/>
      <c r="Q22" s="51"/>
    </row>
    <row r="23" spans="1:23" ht="18" customHeight="1">
      <c r="B23" s="80">
        <f t="shared" si="1"/>
        <v>13</v>
      </c>
      <c r="C23" s="81"/>
      <c r="D23" s="82"/>
      <c r="E23" s="81"/>
      <c r="F23" s="160"/>
      <c r="G23" s="161"/>
      <c r="H23" s="162"/>
      <c r="I23" s="101"/>
      <c r="J23" s="83"/>
      <c r="K23" s="84"/>
      <c r="L23" s="85"/>
      <c r="M23" s="86">
        <f t="shared" si="3"/>
        <v>0</v>
      </c>
      <c r="O23" s="49"/>
      <c r="P23" s="51"/>
      <c r="Q23" s="51"/>
    </row>
    <row r="24" spans="1:23" ht="18" customHeight="1">
      <c r="B24" s="80">
        <f t="shared" si="1"/>
        <v>14</v>
      </c>
      <c r="C24" s="81"/>
      <c r="D24" s="82"/>
      <c r="E24" s="81"/>
      <c r="F24" s="160"/>
      <c r="G24" s="161"/>
      <c r="H24" s="162"/>
      <c r="I24" s="101"/>
      <c r="J24" s="83"/>
      <c r="K24" s="84"/>
      <c r="L24" s="85"/>
      <c r="M24" s="86">
        <f t="shared" si="3"/>
        <v>0</v>
      </c>
      <c r="Q24" s="51"/>
    </row>
    <row r="25" spans="1:23" ht="18" customHeight="1">
      <c r="B25" s="80">
        <f t="shared" si="1"/>
        <v>15</v>
      </c>
      <c r="C25" s="81"/>
      <c r="D25" s="82"/>
      <c r="E25" s="81"/>
      <c r="F25" s="160"/>
      <c r="G25" s="161"/>
      <c r="H25" s="162"/>
      <c r="I25" s="101"/>
      <c r="J25" s="83"/>
      <c r="K25" s="84"/>
      <c r="L25" s="85"/>
      <c r="M25" s="86">
        <f t="shared" ref="M25:M29" si="4">K25*L25</f>
        <v>0</v>
      </c>
      <c r="O25" s="60"/>
      <c r="P25" s="60"/>
      <c r="Q25" s="69"/>
      <c r="R25" s="70"/>
      <c r="S25" s="70"/>
      <c r="T25" s="70"/>
      <c r="U25" s="71"/>
      <c r="V25" s="71"/>
      <c r="W25" s="71"/>
    </row>
    <row r="26" spans="1:23" ht="18" customHeight="1">
      <c r="B26" s="80">
        <f t="shared" si="1"/>
        <v>16</v>
      </c>
      <c r="C26" s="81"/>
      <c r="D26" s="82"/>
      <c r="E26" s="81"/>
      <c r="F26" s="160"/>
      <c r="G26" s="161"/>
      <c r="H26" s="162"/>
      <c r="I26" s="101"/>
      <c r="J26" s="83"/>
      <c r="K26" s="84"/>
      <c r="L26" s="85"/>
      <c r="M26" s="86">
        <f t="shared" si="4"/>
        <v>0</v>
      </c>
      <c r="O26" s="54"/>
      <c r="P26" s="51"/>
      <c r="Q26" s="51"/>
    </row>
    <row r="27" spans="1:23" ht="18" customHeight="1">
      <c r="B27" s="80">
        <f t="shared" si="1"/>
        <v>17</v>
      </c>
      <c r="C27" s="81"/>
      <c r="D27" s="82"/>
      <c r="E27" s="81"/>
      <c r="F27" s="160"/>
      <c r="G27" s="161"/>
      <c r="H27" s="162"/>
      <c r="I27" s="101"/>
      <c r="J27" s="83"/>
      <c r="K27" s="84"/>
      <c r="L27" s="85"/>
      <c r="M27" s="86">
        <f t="shared" si="4"/>
        <v>0</v>
      </c>
      <c r="O27" s="54"/>
      <c r="P27" s="51"/>
      <c r="Q27" s="51"/>
    </row>
    <row r="28" spans="1:23" ht="18" customHeight="1">
      <c r="B28" s="80">
        <f t="shared" si="1"/>
        <v>18</v>
      </c>
      <c r="C28" s="81"/>
      <c r="D28" s="82"/>
      <c r="E28" s="81"/>
      <c r="F28" s="160"/>
      <c r="G28" s="161"/>
      <c r="H28" s="162"/>
      <c r="I28" s="101"/>
      <c r="J28" s="83"/>
      <c r="K28" s="84"/>
      <c r="L28" s="85"/>
      <c r="M28" s="86">
        <f t="shared" si="4"/>
        <v>0</v>
      </c>
      <c r="O28" s="54"/>
      <c r="P28" s="51"/>
      <c r="Q28" s="51"/>
    </row>
    <row r="29" spans="1:23" ht="18" customHeight="1">
      <c r="B29" s="80">
        <f t="shared" si="1"/>
        <v>19</v>
      </c>
      <c r="C29" s="81"/>
      <c r="D29" s="82"/>
      <c r="E29" s="81"/>
      <c r="F29" s="160"/>
      <c r="G29" s="161"/>
      <c r="H29" s="162"/>
      <c r="I29" s="101"/>
      <c r="J29" s="83"/>
      <c r="K29" s="84"/>
      <c r="L29" s="85"/>
      <c r="M29" s="86">
        <f t="shared" si="4"/>
        <v>0</v>
      </c>
      <c r="O29" s="54"/>
      <c r="P29" s="51"/>
      <c r="Q29" s="51"/>
    </row>
    <row r="30" spans="1:23" ht="18" customHeight="1">
      <c r="B30" s="80">
        <f t="shared" si="1"/>
        <v>20</v>
      </c>
      <c r="C30" s="81"/>
      <c r="D30" s="82"/>
      <c r="E30" s="81"/>
      <c r="F30" s="160"/>
      <c r="G30" s="161"/>
      <c r="H30" s="162"/>
      <c r="I30" s="101"/>
      <c r="J30" s="83"/>
      <c r="K30" s="84"/>
      <c r="L30" s="85"/>
      <c r="M30" s="86">
        <f t="shared" ref="M30" si="5">K30*L30</f>
        <v>0</v>
      </c>
      <c r="O30" s="54"/>
      <c r="P30" s="51"/>
      <c r="Q30" s="51"/>
    </row>
    <row r="31" spans="1:23" ht="7.5" customHeight="1">
      <c r="A31" s="78" t="s">
        <v>121</v>
      </c>
      <c r="B31" s="26"/>
      <c r="C31" s="27"/>
      <c r="D31" s="28"/>
      <c r="E31" s="28"/>
      <c r="F31" s="28"/>
      <c r="G31" s="29"/>
      <c r="H31" s="135"/>
      <c r="I31" s="97"/>
      <c r="J31" s="17"/>
      <c r="K31" s="18"/>
      <c r="L31" s="30"/>
      <c r="M31" s="31"/>
    </row>
    <row r="32" spans="1:23" ht="18" customHeight="1">
      <c r="B32" s="184" t="s">
        <v>14</v>
      </c>
      <c r="C32" s="184"/>
      <c r="D32" s="184"/>
      <c r="E32" s="184"/>
      <c r="F32" s="184"/>
      <c r="G32" s="184"/>
      <c r="H32" s="184"/>
      <c r="I32" s="184"/>
      <c r="J32" s="184"/>
      <c r="K32" s="184"/>
      <c r="L32" s="32" t="s">
        <v>1</v>
      </c>
      <c r="M32" s="86">
        <f>SUM(M11:M31)</f>
        <v>0</v>
      </c>
    </row>
    <row r="33" spans="1:28" ht="18" customHeight="1">
      <c r="B33" s="191" t="s">
        <v>32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32" t="s">
        <v>15</v>
      </c>
      <c r="M33" s="87"/>
    </row>
    <row r="34" spans="1:28" ht="18" customHeight="1"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32" t="s">
        <v>16</v>
      </c>
      <c r="M34" s="87"/>
    </row>
    <row r="35" spans="1:28" s="24" customFormat="1" ht="18" customHeight="1" thickBot="1"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32" t="s">
        <v>30</v>
      </c>
      <c r="M35" s="87"/>
      <c r="N35" s="21"/>
      <c r="O35" s="46"/>
      <c r="P35" s="46"/>
      <c r="Q35" s="46"/>
      <c r="R35" s="46"/>
      <c r="S35" s="46"/>
      <c r="T35" s="46"/>
      <c r="U35" s="47"/>
      <c r="V35" s="47"/>
      <c r="W35" s="47"/>
      <c r="X35" s="42"/>
      <c r="Y35" s="42"/>
      <c r="Z35" s="42"/>
      <c r="AA35" s="47"/>
      <c r="AB35" s="47"/>
    </row>
    <row r="36" spans="1:28" ht="15" customHeight="1" thickTop="1" thickBot="1">
      <c r="B36" s="192" t="str">
        <f>IF($B$7="Yes", ShipInPlace,"")</f>
        <v/>
      </c>
      <c r="C36" s="192"/>
      <c r="D36" s="192"/>
      <c r="E36" s="192"/>
      <c r="F36" s="192"/>
      <c r="G36" s="192"/>
      <c r="H36" s="192"/>
      <c r="I36" s="192"/>
      <c r="J36" s="192"/>
      <c r="K36" s="192"/>
      <c r="L36" s="33" t="s">
        <v>2</v>
      </c>
      <c r="M36" s="88">
        <f>SUM(M32:M35)</f>
        <v>0</v>
      </c>
      <c r="X36" s="51"/>
    </row>
    <row r="37" spans="1:28" ht="15" customHeight="1" thickTop="1"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33"/>
      <c r="M37" s="134"/>
      <c r="X37" s="51"/>
    </row>
    <row r="38" spans="1:28" ht="7.5" customHeight="1">
      <c r="B38" s="19"/>
      <c r="C38" s="19"/>
      <c r="D38" s="19"/>
      <c r="E38" s="19"/>
      <c r="F38" s="19"/>
      <c r="G38" s="19"/>
      <c r="H38" s="19"/>
      <c r="I38" s="19"/>
      <c r="J38" s="20"/>
      <c r="K38" s="21"/>
      <c r="L38" s="22"/>
      <c r="M38" s="23"/>
      <c r="X38" s="208"/>
      <c r="Y38" s="208"/>
    </row>
    <row r="39" spans="1:28" ht="12.75" customHeight="1">
      <c r="B39" s="187"/>
      <c r="C39" s="187"/>
      <c r="D39" s="188"/>
      <c r="E39" s="185" t="s">
        <v>10</v>
      </c>
      <c r="F39" s="185"/>
      <c r="G39" s="143" t="s">
        <v>115</v>
      </c>
      <c r="H39" s="157"/>
      <c r="I39" s="157"/>
      <c r="J39" s="144"/>
      <c r="K39" s="143" t="s">
        <v>144</v>
      </c>
      <c r="L39" s="157"/>
      <c r="M39" s="144"/>
      <c r="X39" s="53"/>
      <c r="Y39" s="51"/>
    </row>
    <row r="40" spans="1:28" ht="12.75" customHeight="1">
      <c r="B40" s="187"/>
      <c r="C40" s="187"/>
      <c r="D40" s="188"/>
      <c r="E40" s="186" t="s">
        <v>38</v>
      </c>
      <c r="F40" s="186"/>
      <c r="G40" s="194" t="str">
        <f>IF($B$7="Yes", AERequired, "Not Required")</f>
        <v>Not Required</v>
      </c>
      <c r="H40" s="195"/>
      <c r="I40" s="195"/>
      <c r="J40" s="196"/>
      <c r="K40" s="148" t="str">
        <f>IF($D$7="Yes", "Required", "Not Required")</f>
        <v>Not Required</v>
      </c>
      <c r="L40" s="149"/>
      <c r="M40" s="150"/>
      <c r="X40" s="54"/>
      <c r="Y40" s="51"/>
    </row>
    <row r="41" spans="1:28" ht="14.25" customHeight="1">
      <c r="B41" s="187"/>
      <c r="C41" s="187"/>
      <c r="D41" s="188"/>
      <c r="E41" s="186"/>
      <c r="F41" s="186"/>
      <c r="G41" s="197"/>
      <c r="H41" s="198"/>
      <c r="I41" s="198"/>
      <c r="J41" s="199"/>
      <c r="K41" s="151"/>
      <c r="L41" s="152"/>
      <c r="M41" s="153"/>
      <c r="X41" s="54"/>
      <c r="Y41" s="51"/>
    </row>
    <row r="42" spans="1:28" ht="12.75" customHeight="1">
      <c r="B42" s="189"/>
      <c r="C42" s="189"/>
      <c r="D42" s="190"/>
      <c r="E42" s="186"/>
      <c r="F42" s="186"/>
      <c r="G42" s="200"/>
      <c r="H42" s="201"/>
      <c r="I42" s="201"/>
      <c r="J42" s="202"/>
      <c r="K42" s="154"/>
      <c r="L42" s="155"/>
      <c r="M42" s="156"/>
      <c r="X42" s="54"/>
      <c r="Y42" s="51"/>
    </row>
    <row r="43" spans="1:28" ht="12.75" customHeight="1">
      <c r="B43" s="203" t="s">
        <v>99</v>
      </c>
      <c r="C43" s="203"/>
      <c r="D43" s="203"/>
      <c r="E43" s="210" t="s">
        <v>100</v>
      </c>
      <c r="F43" s="211"/>
      <c r="G43" s="143" t="s">
        <v>101</v>
      </c>
      <c r="H43" s="157"/>
      <c r="I43" s="157"/>
      <c r="J43" s="144"/>
      <c r="K43" s="143" t="s">
        <v>102</v>
      </c>
      <c r="L43" s="157"/>
      <c r="M43" s="144"/>
      <c r="X43" s="54"/>
      <c r="Y43" s="51"/>
    </row>
    <row r="44" spans="1:28" ht="12.75" customHeight="1">
      <c r="B44" s="148" t="str">
        <f>IF(Lookup!$I$28="Required","Required","Not Required")</f>
        <v>Not Required</v>
      </c>
      <c r="C44" s="149"/>
      <c r="D44" s="150"/>
      <c r="E44" s="148" t="str">
        <f>IF($H$5="Direct", "Required", "Not Required")</f>
        <v>Not Required</v>
      </c>
      <c r="F44" s="150"/>
      <c r="G44" s="148" t="str">
        <f>Lookup!I31</f>
        <v>Not Required</v>
      </c>
      <c r="H44" s="149"/>
      <c r="I44" s="149"/>
      <c r="J44" s="150"/>
      <c r="K44" s="148" t="str">
        <f>IF(OR(Lookup!$I$10="Required",Lookup!$I$11="Required"),"Required","Not Required")</f>
        <v>Not Required</v>
      </c>
      <c r="L44" s="149"/>
      <c r="M44" s="150"/>
      <c r="X44" s="53"/>
      <c r="Y44" s="52"/>
    </row>
    <row r="45" spans="1:28" ht="12.75" customHeight="1">
      <c r="B45" s="151"/>
      <c r="C45" s="152"/>
      <c r="D45" s="153"/>
      <c r="E45" s="151"/>
      <c r="F45" s="153"/>
      <c r="G45" s="151"/>
      <c r="H45" s="152"/>
      <c r="I45" s="152"/>
      <c r="J45" s="153"/>
      <c r="K45" s="151"/>
      <c r="L45" s="152"/>
      <c r="M45" s="153"/>
      <c r="X45" s="54"/>
      <c r="Y45" s="51"/>
    </row>
    <row r="46" spans="1:28" ht="12.75" customHeight="1">
      <c r="B46" s="154"/>
      <c r="C46" s="155"/>
      <c r="D46" s="156"/>
      <c r="E46" s="154"/>
      <c r="F46" s="156"/>
      <c r="G46" s="154"/>
      <c r="H46" s="155"/>
      <c r="I46" s="155"/>
      <c r="J46" s="156"/>
      <c r="K46" s="154"/>
      <c r="L46" s="155"/>
      <c r="M46" s="156"/>
    </row>
    <row r="47" spans="1:28" ht="12.75" customHeight="1">
      <c r="B47" s="143" t="s">
        <v>105</v>
      </c>
      <c r="C47" s="157"/>
      <c r="D47" s="144"/>
      <c r="E47" s="143" t="s">
        <v>104</v>
      </c>
      <c r="F47" s="144"/>
      <c r="G47" s="143" t="s">
        <v>106</v>
      </c>
      <c r="H47" s="157"/>
      <c r="I47" s="157"/>
      <c r="J47" s="144"/>
      <c r="K47" s="143" t="s">
        <v>112</v>
      </c>
      <c r="L47" s="157"/>
      <c r="M47" s="144"/>
    </row>
    <row r="48" spans="1:28" ht="12.75" customHeight="1">
      <c r="A48" s="72"/>
      <c r="B48" s="145" t="str">
        <f>IF(OR(Lookup!$I$14="Required",Lookup!$I$15="Required"),"Required","Not Required")</f>
        <v>Not Required</v>
      </c>
      <c r="C48" s="145"/>
      <c r="D48" s="145"/>
      <c r="E48" s="145" t="str">
        <f>IF(OR(Lookup!$I$18="Required",Lookup!I19="Required",Lookup!$I$20="Required",Lookup!$I$21="Required",Lookup!$I$22="Required",Lookup!$I$23="Required"),"Required","Not Required")</f>
        <v>Not Required</v>
      </c>
      <c r="F48" s="145"/>
      <c r="G48" s="148" t="str">
        <f>IF(M36&gt;=5000000, "Required", "Not Required")</f>
        <v>Not Required</v>
      </c>
      <c r="H48" s="149"/>
      <c r="I48" s="149"/>
      <c r="J48" s="150"/>
      <c r="K48" s="148" t="str">
        <f>IF(M36&gt;=10000000, "Required", "Not Required")</f>
        <v>Not Required</v>
      </c>
      <c r="L48" s="149"/>
      <c r="M48" s="150"/>
      <c r="N48" s="55"/>
    </row>
    <row r="49" spans="1:20" s="66" customFormat="1">
      <c r="A49" s="73"/>
      <c r="B49" s="146"/>
      <c r="C49" s="146"/>
      <c r="D49" s="146"/>
      <c r="E49" s="146"/>
      <c r="F49" s="146"/>
      <c r="G49" s="151"/>
      <c r="H49" s="152"/>
      <c r="I49" s="152"/>
      <c r="J49" s="153"/>
      <c r="K49" s="151"/>
      <c r="L49" s="152"/>
      <c r="M49" s="153"/>
      <c r="N49" s="74"/>
      <c r="O49" s="63"/>
      <c r="P49" s="63"/>
      <c r="Q49" s="63"/>
      <c r="R49" s="63"/>
      <c r="S49" s="63"/>
      <c r="T49" s="63"/>
    </row>
    <row r="50" spans="1:20" s="66" customFormat="1">
      <c r="A50" s="73"/>
      <c r="B50" s="147"/>
      <c r="C50" s="147"/>
      <c r="D50" s="147"/>
      <c r="E50" s="147"/>
      <c r="F50" s="147"/>
      <c r="G50" s="154"/>
      <c r="H50" s="155"/>
      <c r="I50" s="155"/>
      <c r="J50" s="156"/>
      <c r="K50" s="154"/>
      <c r="L50" s="155"/>
      <c r="M50" s="156"/>
      <c r="N50" s="74"/>
      <c r="O50" s="63"/>
      <c r="P50" s="63"/>
      <c r="Q50" s="63"/>
      <c r="R50" s="63"/>
      <c r="S50" s="63"/>
      <c r="T50" s="63"/>
    </row>
    <row r="51" spans="1:20" s="66" customFormat="1">
      <c r="A51" s="73"/>
      <c r="B51" s="79"/>
      <c r="C51" s="79"/>
      <c r="D51" s="79"/>
      <c r="E51" s="74"/>
      <c r="F51" s="74"/>
      <c r="G51" s="79"/>
      <c r="H51" s="79"/>
      <c r="I51" s="142"/>
      <c r="J51" s="142"/>
      <c r="K51" s="79"/>
      <c r="L51" s="79"/>
      <c r="M51" s="79"/>
      <c r="N51" s="74"/>
      <c r="O51" s="63"/>
      <c r="P51" s="63"/>
      <c r="Q51" s="63"/>
      <c r="R51" s="63"/>
      <c r="S51" s="63"/>
      <c r="T51" s="63"/>
    </row>
    <row r="52" spans="1:20" s="66" customFormat="1">
      <c r="A52" s="73"/>
      <c r="B52" s="79"/>
      <c r="C52" s="79"/>
      <c r="D52" s="79"/>
      <c r="E52" s="74"/>
      <c r="F52" s="74"/>
      <c r="G52" s="79"/>
      <c r="H52" s="79"/>
      <c r="I52" s="142"/>
      <c r="J52" s="142"/>
      <c r="K52" s="79"/>
      <c r="L52" s="79"/>
      <c r="M52" s="79"/>
      <c r="N52" s="74"/>
      <c r="O52" s="63"/>
      <c r="P52" s="63"/>
      <c r="Q52" s="63"/>
      <c r="R52" s="63"/>
      <c r="S52" s="63"/>
      <c r="T52" s="63"/>
    </row>
    <row r="53" spans="1:20" s="66" customFormat="1">
      <c r="A53" s="74"/>
      <c r="B53" s="75"/>
      <c r="C53" s="75"/>
      <c r="D53" s="75"/>
      <c r="E53" s="74"/>
      <c r="F53" s="74"/>
      <c r="G53" s="74"/>
      <c r="H53" s="74"/>
      <c r="I53" s="98"/>
      <c r="J53" s="76"/>
      <c r="K53" s="77"/>
      <c r="L53" s="77"/>
      <c r="M53" s="77"/>
      <c r="N53" s="74"/>
      <c r="O53" s="63"/>
      <c r="P53" s="63"/>
      <c r="Q53" s="63"/>
      <c r="R53" s="63"/>
      <c r="S53" s="63"/>
      <c r="T53" s="63"/>
    </row>
    <row r="54" spans="1:20" s="66" customFormat="1">
      <c r="B54" s="62"/>
      <c r="E54" s="63"/>
      <c r="F54" s="63"/>
      <c r="G54" s="63"/>
      <c r="H54" s="63"/>
      <c r="I54" s="99"/>
      <c r="J54" s="64"/>
      <c r="K54" s="65"/>
      <c r="L54" s="65"/>
      <c r="M54" s="65"/>
      <c r="N54" s="63"/>
      <c r="O54" s="63"/>
      <c r="P54" s="63"/>
      <c r="Q54" s="63"/>
      <c r="R54" s="63"/>
      <c r="S54" s="63"/>
      <c r="T54" s="63"/>
    </row>
    <row r="55" spans="1:20" s="66" customFormat="1">
      <c r="B55" s="63"/>
      <c r="E55" s="63"/>
      <c r="F55" s="63"/>
      <c r="G55" s="63"/>
      <c r="H55" s="63"/>
      <c r="I55" s="99"/>
      <c r="J55" s="64"/>
      <c r="K55" s="63"/>
      <c r="L55" s="63"/>
      <c r="M55" s="63"/>
      <c r="N55" s="63"/>
      <c r="O55" s="63"/>
      <c r="P55" s="63"/>
      <c r="Q55" s="63"/>
      <c r="R55" s="63"/>
      <c r="S55" s="63"/>
      <c r="T55" s="63"/>
    </row>
    <row r="56" spans="1:20" s="66" customFormat="1">
      <c r="B56" s="63"/>
      <c r="E56" s="63"/>
      <c r="F56" s="63"/>
      <c r="G56" s="63"/>
      <c r="H56" s="63"/>
      <c r="I56" s="99"/>
      <c r="J56" s="64"/>
      <c r="K56" s="63"/>
      <c r="L56" s="63"/>
      <c r="M56" s="63"/>
      <c r="N56" s="63"/>
      <c r="O56" s="63"/>
      <c r="P56" s="63"/>
      <c r="Q56" s="63"/>
      <c r="R56" s="63"/>
      <c r="S56" s="63"/>
      <c r="T56" s="63"/>
    </row>
    <row r="57" spans="1:20" s="66" customFormat="1">
      <c r="B57" s="63"/>
      <c r="E57" s="63"/>
      <c r="H57" s="63"/>
      <c r="I57" s="99"/>
      <c r="J57" s="64"/>
      <c r="K57" s="63"/>
      <c r="L57" s="63"/>
      <c r="M57" s="63"/>
      <c r="N57" s="63"/>
      <c r="O57" s="63"/>
      <c r="P57" s="63"/>
      <c r="Q57" s="63"/>
      <c r="R57" s="63"/>
      <c r="S57" s="63"/>
      <c r="T57" s="63"/>
    </row>
    <row r="58" spans="1:20" s="66" customFormat="1">
      <c r="B58" s="63"/>
      <c r="E58" s="63"/>
      <c r="H58" s="63"/>
      <c r="I58" s="99"/>
      <c r="J58" s="64"/>
      <c r="K58" s="63"/>
      <c r="L58" s="63"/>
      <c r="M58" s="63"/>
      <c r="N58" s="63"/>
      <c r="O58" s="63"/>
      <c r="P58" s="63"/>
      <c r="Q58" s="63"/>
      <c r="R58" s="63"/>
      <c r="S58" s="63"/>
      <c r="T58" s="63"/>
    </row>
    <row r="59" spans="1:20" s="42" customFormat="1" ht="409.5" customHeight="1">
      <c r="B59" s="63"/>
      <c r="C59" s="66"/>
      <c r="D59" s="66"/>
      <c r="E59" s="63"/>
      <c r="H59" s="63"/>
      <c r="I59" s="99"/>
      <c r="J59" s="64"/>
      <c r="K59" s="63"/>
      <c r="L59" s="63"/>
      <c r="M59" s="63"/>
      <c r="N59" s="41"/>
      <c r="O59" s="41"/>
      <c r="P59" s="41"/>
      <c r="Q59" s="41"/>
      <c r="R59" s="41"/>
      <c r="S59" s="41"/>
      <c r="T59" s="41"/>
    </row>
    <row r="60" spans="1:20">
      <c r="B60" s="63"/>
      <c r="C60" s="66"/>
      <c r="D60" s="66"/>
      <c r="E60" s="63"/>
      <c r="H60" s="63"/>
      <c r="I60" s="99"/>
      <c r="J60" s="64"/>
      <c r="K60" s="63"/>
      <c r="L60" s="63"/>
      <c r="M60" s="63"/>
    </row>
    <row r="61" spans="1:20">
      <c r="B61" s="41"/>
      <c r="C61" s="41"/>
      <c r="D61" s="41"/>
      <c r="E61" s="41"/>
      <c r="F61" s="41"/>
      <c r="G61" s="41"/>
      <c r="H61" s="41"/>
      <c r="I61" s="100"/>
      <c r="J61" s="48"/>
      <c r="K61" s="41"/>
      <c r="L61" s="41"/>
      <c r="M61" s="41"/>
    </row>
  </sheetData>
  <sheetProtection algorithmName="SHA-512" hashValue="2xve3LnNN/U77RATlBynihYiEmdSxKF/WN/Jk8rmCVOOmkn1bZrLsOqiGS4pvXH5oeSJQtIsXka9SG8Bry7TpQ==" saltValue="7lEwY2lQOJh1LC6ldU6gcQ==" spinCount="100000" sheet="1" objects="1" formatRows="0" selectLockedCells="1"/>
  <mergeCells count="74">
    <mergeCell ref="F18:H18"/>
    <mergeCell ref="F19:H19"/>
    <mergeCell ref="F20:H20"/>
    <mergeCell ref="F21:H21"/>
    <mergeCell ref="G39:J39"/>
    <mergeCell ref="G43:J43"/>
    <mergeCell ref="F27:H27"/>
    <mergeCell ref="F28:H28"/>
    <mergeCell ref="F11:H11"/>
    <mergeCell ref="F12:H12"/>
    <mergeCell ref="F13:H13"/>
    <mergeCell ref="F14:H14"/>
    <mergeCell ref="F29:H29"/>
    <mergeCell ref="F30:H30"/>
    <mergeCell ref="F22:H22"/>
    <mergeCell ref="F23:H23"/>
    <mergeCell ref="F24:H24"/>
    <mergeCell ref="F25:H25"/>
    <mergeCell ref="F26:H26"/>
    <mergeCell ref="F17:H17"/>
    <mergeCell ref="L4:M4"/>
    <mergeCell ref="L5:M5"/>
    <mergeCell ref="J4:K4"/>
    <mergeCell ref="J5:K5"/>
    <mergeCell ref="X38:Y38"/>
    <mergeCell ref="K9:K10"/>
    <mergeCell ref="K44:M46"/>
    <mergeCell ref="B32:K32"/>
    <mergeCell ref="E39:F39"/>
    <mergeCell ref="E40:F42"/>
    <mergeCell ref="B39:D42"/>
    <mergeCell ref="B33:K35"/>
    <mergeCell ref="B36:K37"/>
    <mergeCell ref="B44:D46"/>
    <mergeCell ref="K40:M42"/>
    <mergeCell ref="K39:M39"/>
    <mergeCell ref="G40:J42"/>
    <mergeCell ref="B43:D43"/>
    <mergeCell ref="E44:F46"/>
    <mergeCell ref="G44:J46"/>
    <mergeCell ref="K43:M43"/>
    <mergeCell ref="E43:F43"/>
    <mergeCell ref="C3:E3"/>
    <mergeCell ref="F6:G6"/>
    <mergeCell ref="F7:G7"/>
    <mergeCell ref="B4:C4"/>
    <mergeCell ref="F9:H10"/>
    <mergeCell ref="B9:B10"/>
    <mergeCell ref="C9:C10"/>
    <mergeCell ref="D9:D10"/>
    <mergeCell ref="E9:E10"/>
    <mergeCell ref="E4:G4"/>
    <mergeCell ref="E5:G5"/>
    <mergeCell ref="O5:P5"/>
    <mergeCell ref="B6:C6"/>
    <mergeCell ref="B5:C5"/>
    <mergeCell ref="B7:C7"/>
    <mergeCell ref="L6:M6"/>
    <mergeCell ref="L7:M7"/>
    <mergeCell ref="J6:K6"/>
    <mergeCell ref="J7:K7"/>
    <mergeCell ref="L9:L10"/>
    <mergeCell ref="M9:M10"/>
    <mergeCell ref="I9:J9"/>
    <mergeCell ref="F15:H15"/>
    <mergeCell ref="F16:H16"/>
    <mergeCell ref="E47:F47"/>
    <mergeCell ref="E48:F50"/>
    <mergeCell ref="G48:J50"/>
    <mergeCell ref="K48:M50"/>
    <mergeCell ref="B48:D50"/>
    <mergeCell ref="B47:D47"/>
    <mergeCell ref="K47:M47"/>
    <mergeCell ref="G47:J47"/>
  </mergeCells>
  <phoneticPr fontId="2" type="noConversion"/>
  <conditionalFormatting sqref="J11:J30">
    <cfRule type="expression" dxfId="6" priority="698">
      <formula>($J11="PROP")</formula>
    </cfRule>
  </conditionalFormatting>
  <conditionalFormatting sqref="B44:F46 B48:M50 K44:M46">
    <cfRule type="expression" dxfId="5" priority="694">
      <formula>B44="Required"</formula>
    </cfRule>
  </conditionalFormatting>
  <conditionalFormatting sqref="G51:M51">
    <cfRule type="expression" dxfId="4" priority="440">
      <formula>G51="Required"</formula>
    </cfRule>
  </conditionalFormatting>
  <conditionalFormatting sqref="G52:M52">
    <cfRule type="expression" dxfId="3" priority="439">
      <formula>G52="Required"</formula>
    </cfRule>
  </conditionalFormatting>
  <conditionalFormatting sqref="G40:J42">
    <cfRule type="expression" dxfId="2" priority="3">
      <formula>$B$7="Yes"</formula>
    </cfRule>
  </conditionalFormatting>
  <conditionalFormatting sqref="K40:M42">
    <cfRule type="expression" dxfId="1" priority="2">
      <formula>K40="Required"</formula>
    </cfRule>
  </conditionalFormatting>
  <conditionalFormatting sqref="G44:J46">
    <cfRule type="expression" dxfId="0" priority="1">
      <formula>G44="Required"</formula>
    </cfRule>
  </conditionalFormatting>
  <dataValidations count="5">
    <dataValidation type="list" allowBlank="1" showInputMessage="1" showErrorMessage="1" sqref="J31" xr:uid="{15C63873-3943-4455-8842-1779E5254D85}">
      <formula1>$X$40:$X$45</formula1>
    </dataValidation>
    <dataValidation type="list" allowBlank="1" showInputMessage="1" showErrorMessage="1" sqref="I11:I30" xr:uid="{F145B610-4617-45ED-AE95-F242AE57AFB2}">
      <formula1>PropClass</formula1>
    </dataValidation>
    <dataValidation type="list" allowBlank="1" showInputMessage="1" showErrorMessage="1" sqref="J11:J30" xr:uid="{30B3B295-2AFA-4D5D-8A8E-2A3A6CE136F5}">
      <formula1>SubClass</formula1>
    </dataValidation>
    <dataValidation type="list" allowBlank="1" showInputMessage="1" showErrorMessage="1" sqref="H5" xr:uid="{C7D35FB8-45F5-461E-BE7C-5CB7810B598C}">
      <formula1>ExpenseType</formula1>
    </dataValidation>
    <dataValidation type="list" allowBlank="1" showInputMessage="1" showErrorMessage="1" sqref="H7 J7" xr:uid="{0CFE4411-1FB1-4CE2-ADAC-5D02783D23A4}">
      <formula1>Shipto</formula1>
    </dataValidation>
  </dataValidations>
  <printOptions horizontalCentered="1"/>
  <pageMargins left="0.25" right="0.25" top="0.4" bottom="0.4" header="0" footer="0.2"/>
  <pageSetup scale="70" orientation="landscape" r:id="rId1"/>
  <headerFooter>
    <oddFooter>&amp;L&amp;"Arial Narrow,Regular"61701-00238&amp;C&amp;"Arial Narrow,Regular"VTS Proprietary
&amp;"Arial Narrow,Italic"Official and controlled versions of this document are ONLY on the VTS Corporate server&amp;R&amp;"Arial Narrow,Regular"Page &amp;P of &amp;N</oddFooter>
  </headerFooter>
  <ignoredErrors>
    <ignoredError sqref="J47:M50 K41:M42 L40:M40 C44:D44 B45:F46 B49:D50 G47 C48:D48 G48 G49:G50 L44:M44 F44 K45:M4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ddRow">
                <anchor moveWithCells="1">
                  <from>
                    <xdr:col>0</xdr:col>
                    <xdr:colOff>114300</xdr:colOff>
                    <xdr:row>31</xdr:row>
                    <xdr:rowOff>114300</xdr:rowOff>
                  </from>
                  <to>
                    <xdr:col>0</xdr:col>
                    <xdr:colOff>676275</xdr:colOff>
                    <xdr:row>33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A9275E-3A6D-41E0-A549-B95B44A9AF77}">
          <x14:formula1>
            <xm:f>Lookup!$F$2:$F$3</xm:f>
          </x14:formula1>
          <xm:sqref>J5:K5 B7:D7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0239-DA89-48CF-97B6-D99533F2D4D0}">
  <sheetPr codeName="Sheet2">
    <tabColor rgb="FF00B0F0"/>
  </sheetPr>
  <dimension ref="A1:Z41"/>
  <sheetViews>
    <sheetView workbookViewId="0">
      <selection activeCell="L42" sqref="L42"/>
    </sheetView>
  </sheetViews>
  <sheetFormatPr defaultRowHeight="12.75"/>
  <cols>
    <col min="1" max="1" width="13.140625" bestFit="1" customWidth="1"/>
    <col min="2" max="2" width="28.140625" customWidth="1"/>
    <col min="3" max="3" width="20.85546875" customWidth="1"/>
    <col min="4" max="4" width="15.7109375" bestFit="1" customWidth="1"/>
    <col min="9" max="9" width="27.85546875" bestFit="1" customWidth="1"/>
    <col min="10" max="10" width="24.28515625" customWidth="1"/>
    <col min="11" max="11" width="19.42578125" bestFit="1" customWidth="1"/>
    <col min="12" max="12" width="17.7109375" bestFit="1" customWidth="1"/>
    <col min="13" max="13" width="15.5703125" bestFit="1" customWidth="1"/>
    <col min="14" max="14" width="18.42578125" bestFit="1" customWidth="1"/>
    <col min="15" max="15" width="14.85546875" bestFit="1" customWidth="1"/>
    <col min="18" max="18" width="19" bestFit="1" customWidth="1"/>
    <col min="19" max="19" width="17.28515625" bestFit="1" customWidth="1"/>
    <col min="20" max="20" width="10.140625" bestFit="1" customWidth="1"/>
    <col min="21" max="21" width="15.140625" bestFit="1" customWidth="1"/>
    <col min="22" max="22" width="11.85546875" bestFit="1" customWidth="1"/>
    <col min="26" max="26" width="9.42578125" bestFit="1" customWidth="1"/>
  </cols>
  <sheetData>
    <row r="1" spans="1:26" s="38" customFormat="1">
      <c r="A1" s="38" t="s">
        <v>36</v>
      </c>
      <c r="B1" s="38" t="s">
        <v>43</v>
      </c>
      <c r="C1" s="38" t="s">
        <v>37</v>
      </c>
      <c r="D1" s="38" t="s">
        <v>77</v>
      </c>
      <c r="F1" s="38" t="s">
        <v>110</v>
      </c>
      <c r="G1" s="38" t="s">
        <v>117</v>
      </c>
      <c r="H1" s="38" t="s">
        <v>125</v>
      </c>
      <c r="I1" s="38" t="s">
        <v>66</v>
      </c>
      <c r="K1" s="115" t="s">
        <v>85</v>
      </c>
      <c r="L1" s="115" t="s">
        <v>86</v>
      </c>
      <c r="M1" s="115" t="s">
        <v>87</v>
      </c>
      <c r="N1" s="115" t="s">
        <v>88</v>
      </c>
      <c r="O1" s="115" t="s">
        <v>89</v>
      </c>
      <c r="R1" s="38" t="s">
        <v>85</v>
      </c>
      <c r="S1" s="38" t="s">
        <v>86</v>
      </c>
      <c r="T1" s="38" t="s">
        <v>87</v>
      </c>
      <c r="U1" s="117" t="s">
        <v>88</v>
      </c>
      <c r="V1" s="117" t="s">
        <v>89</v>
      </c>
      <c r="Z1" s="38" t="s">
        <v>120</v>
      </c>
    </row>
    <row r="2" spans="1:26">
      <c r="A2" s="132" t="s">
        <v>138</v>
      </c>
      <c r="B2" s="6" t="s">
        <v>46</v>
      </c>
      <c r="C2" s="6" t="s">
        <v>38</v>
      </c>
      <c r="D2" s="6" t="s">
        <v>80</v>
      </c>
      <c r="F2" s="6" t="s">
        <v>108</v>
      </c>
      <c r="G2" s="91" t="s">
        <v>13</v>
      </c>
      <c r="H2" s="91" t="s">
        <v>126</v>
      </c>
      <c r="I2" s="103">
        <f>'Purchase Requisition'!H5</f>
        <v>0</v>
      </c>
      <c r="J2" s="105" t="s">
        <v>50</v>
      </c>
      <c r="K2" s="106" t="s">
        <v>38</v>
      </c>
      <c r="L2" s="106" t="s">
        <v>39</v>
      </c>
      <c r="M2" s="106" t="s">
        <v>39</v>
      </c>
      <c r="N2" s="106" t="s">
        <v>39</v>
      </c>
      <c r="O2" s="106" t="s">
        <v>38</v>
      </c>
      <c r="Q2" s="104" t="s">
        <v>50</v>
      </c>
      <c r="R2" s="116" t="s">
        <v>10</v>
      </c>
      <c r="S2" s="116" t="s">
        <v>42</v>
      </c>
      <c r="T2" s="116" t="s">
        <v>40</v>
      </c>
      <c r="U2" s="116" t="s">
        <v>41</v>
      </c>
      <c r="V2" s="116" t="s">
        <v>76</v>
      </c>
      <c r="W2" s="105"/>
      <c r="Y2" cm="1">
        <f t="array" ref="Y2">MAX(('Purchase Requisition'!A:A&lt;&gt;"")*(ROW('Purchase Requisition'!A:A)))</f>
        <v>31</v>
      </c>
      <c r="Z2" t="str">
        <f>("Purchase Requisition'!k1:Purchase Requisition'!k"&amp;(Y2-1))</f>
        <v>Purchase Requisition'!k1:Purchase Requisition'!k30</v>
      </c>
    </row>
    <row r="3" spans="1:26">
      <c r="A3" s="13">
        <f>LEN("\\vts-r-fp01\User Redirected Files\")</f>
        <v>35</v>
      </c>
      <c r="B3" s="39" t="s">
        <v>47</v>
      </c>
      <c r="C3" s="6" t="s">
        <v>39</v>
      </c>
      <c r="D3" s="6" t="s">
        <v>81</v>
      </c>
      <c r="F3" s="6" t="s">
        <v>109</v>
      </c>
      <c r="G3" s="91" t="s">
        <v>11</v>
      </c>
      <c r="H3" s="91" t="s">
        <v>127</v>
      </c>
      <c r="I3" s="104" t="str">
        <f>IF('Purchase Requisition'!M36&gt;=1500000,"1500k",IF('Purchase Requisition'!M36&gt;=100000,"100k",IF('Purchase Requisition'!M36&gt;=10000,"10k",IF('Purchase Requisition'!M36&gt;=5000,"5k",""))))</f>
        <v/>
      </c>
      <c r="J3" s="104" t="s">
        <v>65</v>
      </c>
      <c r="K3" s="106" t="s">
        <v>38</v>
      </c>
      <c r="L3" s="106" t="s">
        <v>39</v>
      </c>
      <c r="M3" s="106" t="s">
        <v>38</v>
      </c>
      <c r="N3" s="106" t="s">
        <v>38</v>
      </c>
      <c r="O3" s="106" t="s">
        <v>38</v>
      </c>
      <c r="Q3" s="104" t="s">
        <v>65</v>
      </c>
      <c r="R3" s="116" t="s">
        <v>10</v>
      </c>
      <c r="S3" s="116" t="s">
        <v>42</v>
      </c>
      <c r="T3" s="116" t="s">
        <v>40</v>
      </c>
      <c r="U3" s="116" t="s">
        <v>41</v>
      </c>
      <c r="V3" s="116" t="s">
        <v>76</v>
      </c>
      <c r="W3" s="105"/>
      <c r="Z3">
        <f>SUM(Z2)</f>
        <v>0</v>
      </c>
    </row>
    <row r="4" spans="1:26">
      <c r="A4" s="13"/>
      <c r="B4" s="39" t="s">
        <v>51</v>
      </c>
      <c r="D4" s="6" t="s">
        <v>82</v>
      </c>
      <c r="G4" s="91" t="s">
        <v>128</v>
      </c>
      <c r="H4" s="91" t="s">
        <v>129</v>
      </c>
      <c r="I4" s="104">
        <f>IF(I2="Capital / Fixed Asset", "Capital", I2)</f>
        <v>0</v>
      </c>
      <c r="J4" s="105" t="s">
        <v>46</v>
      </c>
      <c r="K4" s="106" t="s">
        <v>38</v>
      </c>
      <c r="L4" s="106" t="s">
        <v>38</v>
      </c>
      <c r="M4" s="106" t="s">
        <v>39</v>
      </c>
      <c r="N4" s="106" t="s">
        <v>39</v>
      </c>
      <c r="O4" s="106" t="s">
        <v>39</v>
      </c>
      <c r="Q4" s="104" t="s">
        <v>46</v>
      </c>
      <c r="R4" s="116" t="s">
        <v>10</v>
      </c>
      <c r="S4" s="116" t="s">
        <v>42</v>
      </c>
      <c r="T4" s="116" t="s">
        <v>40</v>
      </c>
      <c r="U4" s="116" t="s">
        <v>41</v>
      </c>
      <c r="V4" s="116" t="s">
        <v>76</v>
      </c>
      <c r="W4" s="105"/>
    </row>
    <row r="5" spans="1:26">
      <c r="A5" s="13"/>
      <c r="B5" s="39" t="s">
        <v>49</v>
      </c>
      <c r="D5" s="6" t="s">
        <v>83</v>
      </c>
      <c r="G5" s="92" t="s">
        <v>12</v>
      </c>
      <c r="H5" s="92" t="s">
        <v>130</v>
      </c>
      <c r="I5" s="104" t="str">
        <f>IF(OR(I4="Capital", I4="B&amp;P"),I4,I4&amp;I3)</f>
        <v>0</v>
      </c>
      <c r="J5" s="105" t="s">
        <v>67</v>
      </c>
      <c r="K5" s="106" t="s">
        <v>38</v>
      </c>
      <c r="L5" s="106" t="s">
        <v>38</v>
      </c>
      <c r="M5" s="106" t="s">
        <v>39</v>
      </c>
      <c r="N5" s="106" t="s">
        <v>39</v>
      </c>
      <c r="O5" s="106" t="s">
        <v>39</v>
      </c>
      <c r="Q5" s="104" t="s">
        <v>47</v>
      </c>
      <c r="R5" s="116" t="s">
        <v>10</v>
      </c>
      <c r="S5" s="116" t="s">
        <v>42</v>
      </c>
      <c r="T5" s="116" t="s">
        <v>40</v>
      </c>
      <c r="U5" s="116" t="s">
        <v>41</v>
      </c>
      <c r="V5" s="116" t="s">
        <v>76</v>
      </c>
      <c r="W5" s="105"/>
    </row>
    <row r="6" spans="1:26">
      <c r="A6" t="str">
        <f>PROPER(REPLACE(A2,FIND(".",A2,1),1," "))</f>
        <v>Keith Sheridan</v>
      </c>
      <c r="B6" s="39" t="s">
        <v>113</v>
      </c>
      <c r="D6" s="6" t="s">
        <v>78</v>
      </c>
      <c r="G6" s="91" t="s">
        <v>26</v>
      </c>
      <c r="H6" s="91" t="s">
        <v>131</v>
      </c>
      <c r="J6" s="105" t="s">
        <v>68</v>
      </c>
      <c r="K6" s="106" t="s">
        <v>38</v>
      </c>
      <c r="L6" s="106" t="s">
        <v>38</v>
      </c>
      <c r="M6" s="106" t="s">
        <v>39</v>
      </c>
      <c r="N6" s="106" t="s">
        <v>38</v>
      </c>
      <c r="O6" s="106" t="s">
        <v>39</v>
      </c>
      <c r="Q6" s="104" t="s">
        <v>51</v>
      </c>
      <c r="R6" s="116" t="s">
        <v>10</v>
      </c>
      <c r="S6" s="116" t="s">
        <v>42</v>
      </c>
      <c r="T6" s="116" t="s">
        <v>40</v>
      </c>
      <c r="U6" s="116" t="s">
        <v>41</v>
      </c>
      <c r="V6" s="116" t="s">
        <v>76</v>
      </c>
      <c r="W6" s="105"/>
    </row>
    <row r="7" spans="1:26">
      <c r="A7" s="13" t="str">
        <f>LEFT(A6,1)</f>
        <v>K</v>
      </c>
      <c r="B7" s="39" t="s">
        <v>114</v>
      </c>
      <c r="G7" s="91"/>
      <c r="H7" s="91" t="s">
        <v>132</v>
      </c>
      <c r="J7" s="105" t="s">
        <v>72</v>
      </c>
      <c r="K7" s="106" t="s">
        <v>38</v>
      </c>
      <c r="L7" s="106" t="s">
        <v>38</v>
      </c>
      <c r="M7" s="106" t="s">
        <v>39</v>
      </c>
      <c r="N7" s="106" t="s">
        <v>38</v>
      </c>
      <c r="O7" s="106" t="s">
        <v>38</v>
      </c>
      <c r="Q7" s="104" t="s">
        <v>84</v>
      </c>
      <c r="R7" s="116" t="s">
        <v>10</v>
      </c>
      <c r="S7" s="116" t="s">
        <v>42</v>
      </c>
      <c r="T7" s="116" t="s">
        <v>93</v>
      </c>
      <c r="U7" s="116" t="s">
        <v>94</v>
      </c>
      <c r="V7" s="116" t="s">
        <v>76</v>
      </c>
      <c r="W7" s="105"/>
    </row>
    <row r="8" spans="1:26">
      <c r="A8" s="13" t="str">
        <f>MID(A6,FIND(" ",A6,1)+1,1)</f>
        <v>S</v>
      </c>
      <c r="B8" s="14"/>
      <c r="H8" s="91" t="s">
        <v>133</v>
      </c>
      <c r="J8" s="105" t="s">
        <v>96</v>
      </c>
      <c r="K8" s="106" t="s">
        <v>38</v>
      </c>
      <c r="L8" s="106" t="s">
        <v>38</v>
      </c>
      <c r="M8" s="106" t="s">
        <v>39</v>
      </c>
      <c r="N8" s="106" t="s">
        <v>38</v>
      </c>
      <c r="O8" s="106" t="s">
        <v>38</v>
      </c>
    </row>
    <row r="9" spans="1:26">
      <c r="A9" s="13" t="str">
        <f>UPPER(A7&amp;A8)</f>
        <v>KS</v>
      </c>
      <c r="B9" s="133"/>
      <c r="H9" s="91" t="s">
        <v>26</v>
      </c>
      <c r="I9" s="58" t="s">
        <v>102</v>
      </c>
      <c r="J9" s="105" t="s">
        <v>47</v>
      </c>
      <c r="K9" s="106" t="s">
        <v>38</v>
      </c>
      <c r="L9" s="106" t="s">
        <v>39</v>
      </c>
      <c r="M9" s="106" t="s">
        <v>38</v>
      </c>
      <c r="N9" s="106" t="s">
        <v>39</v>
      </c>
      <c r="O9" s="106" t="s">
        <v>39</v>
      </c>
    </row>
    <row r="10" spans="1:26">
      <c r="A10" s="14">
        <f ca="1">TODAY()</f>
        <v>45189</v>
      </c>
      <c r="B10" s="6"/>
      <c r="I10" s="25" t="str">
        <f>IF(AND('Purchase Requisition'!M36&gt;=2000000,'Purchase Requisition'!$H$5="Direct"),"Required","Not Required")</f>
        <v>Not Required</v>
      </c>
      <c r="J10" s="105" t="s">
        <v>70</v>
      </c>
      <c r="K10" s="106" t="s">
        <v>38</v>
      </c>
      <c r="L10" s="106" t="s">
        <v>39</v>
      </c>
      <c r="M10" s="106" t="s">
        <v>38</v>
      </c>
      <c r="N10" s="106" t="s">
        <v>38</v>
      </c>
      <c r="O10" s="106" t="s">
        <v>39</v>
      </c>
    </row>
    <row r="11" spans="1:26">
      <c r="A11" s="13" t="str">
        <f ca="1">TEXT(A10,"yyyymmdd")</f>
        <v>20230920</v>
      </c>
      <c r="B11" s="6"/>
      <c r="I11" s="25" t="str">
        <f>IF(OR('Purchase Requisition'!$H$5="Capital / Fixed Asset",'Purchase Requisition'!$H$5="Indirect", 'Purchase Requisition'!$H$5="Capital / Fixed Asset (IT)", 'Purchase Requisition'!$H$5="Indirect (IT)",'Purchase Requisition'!$H$5="B&amp;P (New Business)",'Purchase Requisition'!$H$5="B&amp;P (Organic Growth)"),"Required","Not Required")</f>
        <v>Not Required</v>
      </c>
      <c r="J11" s="105" t="s">
        <v>69</v>
      </c>
      <c r="K11" s="106" t="s">
        <v>38</v>
      </c>
      <c r="L11" s="106" t="s">
        <v>39</v>
      </c>
      <c r="M11" s="106" t="s">
        <v>38</v>
      </c>
      <c r="N11" s="106" t="s">
        <v>38</v>
      </c>
      <c r="O11" s="106" t="s">
        <v>39</v>
      </c>
    </row>
    <row r="12" spans="1:26">
      <c r="A12" t="str">
        <f ca="1">A9&amp;A11</f>
        <v>KS20230920</v>
      </c>
      <c r="J12" s="105" t="s">
        <v>73</v>
      </c>
      <c r="K12" s="106" t="s">
        <v>38</v>
      </c>
      <c r="L12" s="106" t="s">
        <v>39</v>
      </c>
      <c r="M12" s="106" t="s">
        <v>38</v>
      </c>
      <c r="N12" s="106" t="s">
        <v>38</v>
      </c>
      <c r="O12" s="106" t="s">
        <v>38</v>
      </c>
    </row>
    <row r="13" spans="1:26">
      <c r="C13" s="25" t="s">
        <v>137</v>
      </c>
      <c r="I13" s="58" t="s">
        <v>103</v>
      </c>
      <c r="J13" s="105" t="s">
        <v>97</v>
      </c>
      <c r="K13" s="106" t="s">
        <v>38</v>
      </c>
      <c r="L13" s="106" t="s">
        <v>39</v>
      </c>
      <c r="M13" s="106" t="s">
        <v>38</v>
      </c>
      <c r="N13" s="106" t="s">
        <v>38</v>
      </c>
      <c r="O13" s="106" t="s">
        <v>38</v>
      </c>
    </row>
    <row r="14" spans="1:26">
      <c r="I14" s="25" t="str">
        <f>IF('Purchase Requisition'!$H$5="B&amp;P (New Business)","Required","Not Required")</f>
        <v>Not Required</v>
      </c>
      <c r="J14" s="105" t="s">
        <v>51</v>
      </c>
      <c r="K14" s="106" t="s">
        <v>38</v>
      </c>
      <c r="L14" s="106" t="s">
        <v>38</v>
      </c>
      <c r="M14" s="106" t="s">
        <v>39</v>
      </c>
      <c r="N14" s="106" t="s">
        <v>39</v>
      </c>
      <c r="O14" s="106" t="s">
        <v>39</v>
      </c>
    </row>
    <row r="15" spans="1:26">
      <c r="I15" s="25" t="str">
        <f>IF('Purchase Requisition'!$H$5="IR&amp;D","Required","Not Required")</f>
        <v>Not Required</v>
      </c>
      <c r="J15" s="105" t="s">
        <v>75</v>
      </c>
      <c r="K15" s="106" t="s">
        <v>38</v>
      </c>
      <c r="L15" s="106" t="s">
        <v>38</v>
      </c>
      <c r="M15" s="106" t="s">
        <v>39</v>
      </c>
      <c r="N15" s="106" t="s">
        <v>39</v>
      </c>
      <c r="O15" s="106" t="s">
        <v>39</v>
      </c>
    </row>
    <row r="16" spans="1:26">
      <c r="J16" s="105" t="s">
        <v>71</v>
      </c>
      <c r="K16" s="106" t="s">
        <v>38</v>
      </c>
      <c r="L16" s="106" t="s">
        <v>38</v>
      </c>
      <c r="M16" s="106" t="s">
        <v>39</v>
      </c>
      <c r="N16" s="106" t="s">
        <v>38</v>
      </c>
      <c r="O16" s="106" t="s">
        <v>39</v>
      </c>
    </row>
    <row r="17" spans="1:15">
      <c r="I17" s="58" t="s">
        <v>111</v>
      </c>
      <c r="J17" s="105" t="s">
        <v>74</v>
      </c>
      <c r="K17" s="106" t="s">
        <v>38</v>
      </c>
      <c r="L17" s="106" t="s">
        <v>38</v>
      </c>
      <c r="M17" s="106" t="s">
        <v>39</v>
      </c>
      <c r="N17" s="106" t="s">
        <v>38</v>
      </c>
      <c r="O17" s="106" t="s">
        <v>38</v>
      </c>
    </row>
    <row r="18" spans="1:15">
      <c r="I18" s="25" t="str">
        <f>IF(AND('Purchase Requisition'!M36&gt;=2000000,'Purchase Requisition'!$H$5="Direct"),"Required","Not Required")</f>
        <v>Not Required</v>
      </c>
      <c r="J18" s="105" t="s">
        <v>98</v>
      </c>
      <c r="K18" s="106" t="s">
        <v>38</v>
      </c>
      <c r="L18" s="106" t="s">
        <v>38</v>
      </c>
      <c r="M18" s="106" t="s">
        <v>39</v>
      </c>
      <c r="N18" s="106" t="s">
        <v>38</v>
      </c>
      <c r="O18" s="106" t="s">
        <v>38</v>
      </c>
    </row>
    <row r="19" spans="1:15">
      <c r="I19" s="25" t="str">
        <f>IF(OR('Purchase Requisition'!$H$5="Capital / Fixed Asset", 'Purchase Requisition'!$H$5="Capital / Fixed Asset (IT)"),"Required","Not Required")</f>
        <v>Not Required</v>
      </c>
      <c r="J19" s="105" t="s">
        <v>84</v>
      </c>
      <c r="K19" s="106" t="s">
        <v>38</v>
      </c>
      <c r="L19" s="106" t="s">
        <v>39</v>
      </c>
      <c r="M19" s="106" t="s">
        <v>38</v>
      </c>
      <c r="N19" s="106" t="s">
        <v>39</v>
      </c>
      <c r="O19" s="106" t="s">
        <v>39</v>
      </c>
    </row>
    <row r="20" spans="1:15">
      <c r="A20" s="56"/>
      <c r="I20" s="25" t="str">
        <f>IF(AND('Purchase Requisition'!M36&gt;=5000,OR('Purchase Requisition'!$H$5="Indirect",  'Purchase Requisition'!$H$5="Indirect (IT)")),"Required","Not Required")</f>
        <v>Not Required</v>
      </c>
      <c r="J20" s="105" t="s">
        <v>90</v>
      </c>
      <c r="K20" s="106" t="s">
        <v>38</v>
      </c>
      <c r="L20" s="106" t="s">
        <v>39</v>
      </c>
      <c r="M20" s="106" t="s">
        <v>38</v>
      </c>
      <c r="N20" s="106" t="s">
        <v>39</v>
      </c>
      <c r="O20" s="106" t="s">
        <v>39</v>
      </c>
    </row>
    <row r="21" spans="1:15">
      <c r="I21" s="25" t="str">
        <f>IF(AND('Purchase Requisition'!M36&gt;=5000,'Purchase Requisition'!$H$5="IR&amp;D"),"Required","Not Required")</f>
        <v>Not Required</v>
      </c>
      <c r="J21" s="105" t="s">
        <v>91</v>
      </c>
      <c r="K21" s="106" t="s">
        <v>38</v>
      </c>
      <c r="L21" s="106" t="s">
        <v>39</v>
      </c>
      <c r="M21" s="106" t="s">
        <v>38</v>
      </c>
      <c r="N21" s="106" t="s">
        <v>39</v>
      </c>
      <c r="O21" s="106" t="s">
        <v>39</v>
      </c>
    </row>
    <row r="22" spans="1:15">
      <c r="A22" s="13"/>
      <c r="I22" s="25" t="str">
        <f>IF(AND('Purchase Requisition'!M36&gt;=5000,'Purchase Requisition'!$H$5="B&amp;P (Organic Growth)"),"Required","Not Required")</f>
        <v>Not Required</v>
      </c>
      <c r="J22" s="105" t="s">
        <v>92</v>
      </c>
      <c r="K22" s="106" t="s">
        <v>38</v>
      </c>
      <c r="L22" s="106" t="s">
        <v>38</v>
      </c>
      <c r="M22" s="106" t="s">
        <v>38</v>
      </c>
      <c r="N22" s="106" t="s">
        <v>39</v>
      </c>
      <c r="O22" s="106" t="s">
        <v>39</v>
      </c>
    </row>
    <row r="23" spans="1:15">
      <c r="A23" s="13"/>
      <c r="I23" t="str">
        <f>IF(AND('Purchase Requisition'!M36&gt;=5000,'Purchase Requisition'!$H$5="B&amp;P (New Business)"),"Required","Not Required")</f>
        <v>Not Required</v>
      </c>
      <c r="J23" s="105" t="s">
        <v>95</v>
      </c>
      <c r="K23" s="106" t="s">
        <v>38</v>
      </c>
      <c r="L23" s="106" t="s">
        <v>38</v>
      </c>
      <c r="M23" s="106" t="s">
        <v>38</v>
      </c>
      <c r="N23" s="106" t="s">
        <v>38</v>
      </c>
      <c r="O23" s="106" t="s">
        <v>39</v>
      </c>
    </row>
    <row r="24" spans="1:15" ht="13.5" thickBot="1">
      <c r="A24" s="13"/>
      <c r="J24" s="105"/>
      <c r="K24" s="105"/>
      <c r="L24" s="105"/>
      <c r="M24" s="105"/>
      <c r="N24" s="105"/>
      <c r="O24" s="105"/>
    </row>
    <row r="25" spans="1:15" ht="13.5" thickTop="1">
      <c r="A25" s="13"/>
      <c r="J25" s="216"/>
      <c r="K25" s="218" t="s">
        <v>52</v>
      </c>
      <c r="L25" s="218" t="s">
        <v>53</v>
      </c>
      <c r="M25" s="218" t="s">
        <v>54</v>
      </c>
      <c r="N25" s="218" t="s">
        <v>135</v>
      </c>
      <c r="O25" s="107" t="s">
        <v>55</v>
      </c>
    </row>
    <row r="26" spans="1:15" ht="13.5" thickBot="1">
      <c r="A26" s="13"/>
      <c r="J26" s="217"/>
      <c r="K26" s="219"/>
      <c r="L26" s="219"/>
      <c r="M26" s="219"/>
      <c r="N26" s="219"/>
      <c r="O26" s="108" t="s">
        <v>56</v>
      </c>
    </row>
    <row r="27" spans="1:15" ht="14.25" thickTop="1" thickBot="1">
      <c r="I27" s="58" t="s">
        <v>99</v>
      </c>
      <c r="J27" s="109" t="s">
        <v>57</v>
      </c>
      <c r="K27" s="110" t="s">
        <v>58</v>
      </c>
      <c r="L27" s="110" t="s">
        <v>58</v>
      </c>
      <c r="M27" s="110"/>
      <c r="N27" s="110"/>
      <c r="O27" s="111"/>
    </row>
    <row r="28" spans="1:15" ht="13.5" thickBot="1">
      <c r="I28" t="str">
        <f>IF(ISBLANK('Purchase Requisition'!$H$5), "Not Required",(IF(OR(AND('Purchase Requisition'!M36&lt;5000,OR('Purchase Requisition'!$H$5="Indirect", 'Purchase Requisition'!$H$5="Indirect (IT)")),(AND('Purchase Requisition'!M36&lt;10000,'Purchase Requisition'!$H$5="DIrect"))),"Not Required","Required")))</f>
        <v>Not Required</v>
      </c>
      <c r="J28" s="109" t="s">
        <v>59</v>
      </c>
      <c r="K28" s="110" t="s">
        <v>58</v>
      </c>
      <c r="L28" s="110" t="s">
        <v>58</v>
      </c>
      <c r="M28" s="110"/>
      <c r="N28" s="110" t="s">
        <v>58</v>
      </c>
      <c r="O28" s="111"/>
    </row>
    <row r="29" spans="1:15" ht="13.5" thickBot="1">
      <c r="J29" s="109" t="s">
        <v>49</v>
      </c>
      <c r="K29" s="110" t="s">
        <v>58</v>
      </c>
      <c r="L29" s="110"/>
      <c r="M29" s="110" t="s">
        <v>58</v>
      </c>
      <c r="N29" s="110" t="s">
        <v>58</v>
      </c>
      <c r="O29" s="111" t="s">
        <v>58</v>
      </c>
    </row>
    <row r="30" spans="1:15" ht="13.5" thickBot="1">
      <c r="I30" s="58" t="s">
        <v>101</v>
      </c>
      <c r="J30" s="109" t="s">
        <v>60</v>
      </c>
      <c r="K30" s="110" t="s">
        <v>58</v>
      </c>
      <c r="L30" s="110"/>
      <c r="M30" s="110" t="s">
        <v>58</v>
      </c>
      <c r="N30" s="110"/>
      <c r="O30" s="111"/>
    </row>
    <row r="31" spans="1:15" ht="13.5" thickBot="1">
      <c r="I31" t="str">
        <f>IF(OR('Purchase Requisition'!$H$5="Capital / Fixed Asset", 'Purchase Requisition'!$H$5="Capital / Fixed Asset (IT)"), "Required", "Not Required")</f>
        <v>Not Required</v>
      </c>
      <c r="J31" s="109" t="s">
        <v>61</v>
      </c>
      <c r="K31" s="110" t="s">
        <v>58</v>
      </c>
      <c r="L31" s="110"/>
      <c r="M31" s="110" t="s">
        <v>58</v>
      </c>
      <c r="N31" s="110" t="s">
        <v>58</v>
      </c>
      <c r="O31" s="111"/>
    </row>
    <row r="32" spans="1:15" ht="13.5" thickBot="1">
      <c r="J32" s="109" t="s">
        <v>62</v>
      </c>
      <c r="K32" s="110" t="s">
        <v>58</v>
      </c>
      <c r="L32" s="110" t="s">
        <v>58</v>
      </c>
      <c r="M32" s="110"/>
      <c r="N32" s="110"/>
      <c r="O32" s="111"/>
    </row>
    <row r="33" spans="1:15" ht="13.5" thickBot="1">
      <c r="I33" s="58" t="s">
        <v>143</v>
      </c>
      <c r="J33" s="109" t="s">
        <v>63</v>
      </c>
      <c r="K33" s="110" t="s">
        <v>58</v>
      </c>
      <c r="L33" s="110" t="s">
        <v>58</v>
      </c>
      <c r="M33" s="110"/>
      <c r="N33" s="110" t="s">
        <v>58</v>
      </c>
      <c r="O33" s="111"/>
    </row>
    <row r="34" spans="1:15" ht="13.5" thickBot="1">
      <c r="I34" t="str">
        <f>IF(OR('Purchase Requisition'!$H$5="Capital / Fixed Asset (IT)",'Purchase Requisition'!$H$5="Indirect (IT)"),"Required", "Not Required")</f>
        <v>Not Required</v>
      </c>
      <c r="J34" s="109" t="s">
        <v>48</v>
      </c>
      <c r="K34" s="110" t="s">
        <v>58</v>
      </c>
      <c r="L34" s="110"/>
      <c r="M34" s="110"/>
      <c r="N34" s="110"/>
      <c r="O34" s="111" t="s">
        <v>58</v>
      </c>
    </row>
    <row r="35" spans="1:15" ht="13.5" thickBot="1">
      <c r="J35" s="112" t="s">
        <v>64</v>
      </c>
      <c r="K35" s="113"/>
      <c r="L35" s="113"/>
      <c r="M35" s="113"/>
      <c r="N35" s="113"/>
      <c r="O35" s="114" t="s">
        <v>58</v>
      </c>
    </row>
    <row r="36" spans="1:15" ht="13.5" thickTop="1"/>
    <row r="38" spans="1:15">
      <c r="F38" s="25" t="s">
        <v>149</v>
      </c>
    </row>
    <row r="40" spans="1:15" ht="17.25">
      <c r="F40" s="57"/>
    </row>
    <row r="41" spans="1:15">
      <c r="A41" s="102"/>
    </row>
  </sheetData>
  <sheetProtection algorithmName="SHA-512" hashValue="kziJahTphZatnbMW4p86SHkjqRavpzfugsHhjDPxW+AW39Q89XVcqC33A79biPRxEtZZdD3rJj3d0zcOoFzTKw==" saltValue="6IBnITUx+uu7UGAjnvOOqg==" spinCount="100000" sheet="1" objects="1" scenarios="1"/>
  <mergeCells count="5">
    <mergeCell ref="J25:J26"/>
    <mergeCell ref="K25:K26"/>
    <mergeCell ref="L25:L26"/>
    <mergeCell ref="M25:M26"/>
    <mergeCell ref="N25:N26"/>
  </mergeCells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9DE3-CCB1-4067-A1C3-D6CEF04B54D1}">
  <sheetPr codeName="Sheet3"/>
  <dimension ref="A1:D8"/>
  <sheetViews>
    <sheetView zoomScaleNormal="100" workbookViewId="0">
      <selection activeCell="D28" sqref="D28"/>
    </sheetView>
  </sheetViews>
  <sheetFormatPr defaultRowHeight="12.75"/>
  <cols>
    <col min="1" max="1" width="9.140625" style="126"/>
    <col min="2" max="2" width="10.140625" style="126" bestFit="1" customWidth="1"/>
    <col min="3" max="3" width="22.5703125" style="127" customWidth="1"/>
    <col min="4" max="4" width="81.85546875" style="127" customWidth="1"/>
    <col min="5" max="16384" width="9.140625" style="91"/>
  </cols>
  <sheetData>
    <row r="1" spans="1:4">
      <c r="A1" s="220" t="s">
        <v>18</v>
      </c>
      <c r="B1" s="221"/>
      <c r="C1" s="221"/>
      <c r="D1" s="221"/>
    </row>
    <row r="2" spans="1:4">
      <c r="A2" s="121" t="s">
        <v>19</v>
      </c>
      <c r="B2" s="121" t="s">
        <v>20</v>
      </c>
      <c r="C2" s="121" t="s">
        <v>21</v>
      </c>
      <c r="D2" s="121" t="s">
        <v>22</v>
      </c>
    </row>
    <row r="3" spans="1:4">
      <c r="A3" s="122" t="s">
        <v>23</v>
      </c>
      <c r="B3" s="123">
        <v>43984</v>
      </c>
      <c r="C3" s="124" t="s">
        <v>24</v>
      </c>
      <c r="D3" s="124" t="s">
        <v>25</v>
      </c>
    </row>
    <row r="4" spans="1:4" ht="25.5">
      <c r="A4" s="122" t="s">
        <v>31</v>
      </c>
      <c r="B4" s="123">
        <v>44760</v>
      </c>
      <c r="C4" s="125" t="s">
        <v>118</v>
      </c>
      <c r="D4" s="125" t="s">
        <v>116</v>
      </c>
    </row>
    <row r="5" spans="1:4" ht="38.25">
      <c r="A5" s="122" t="s">
        <v>119</v>
      </c>
      <c r="B5" s="123">
        <v>44820</v>
      </c>
      <c r="C5" s="125" t="s">
        <v>118</v>
      </c>
      <c r="D5" s="125" t="s">
        <v>134</v>
      </c>
    </row>
    <row r="6" spans="1:4" ht="38.25">
      <c r="A6" s="129" t="s">
        <v>136</v>
      </c>
      <c r="B6" s="123">
        <v>44902</v>
      </c>
      <c r="C6" s="125" t="s">
        <v>118</v>
      </c>
      <c r="D6" s="125" t="s">
        <v>142</v>
      </c>
    </row>
    <row r="7" spans="1:4" s="128" customFormat="1" ht="25.5">
      <c r="A7" s="122" t="s">
        <v>140</v>
      </c>
      <c r="B7" s="123">
        <v>44958</v>
      </c>
      <c r="C7" s="125" t="s">
        <v>118</v>
      </c>
      <c r="D7" s="125" t="s">
        <v>141</v>
      </c>
    </row>
    <row r="8" spans="1:4" ht="25.5">
      <c r="A8" s="122" t="s">
        <v>145</v>
      </c>
      <c r="B8" s="123">
        <v>45048</v>
      </c>
      <c r="C8" s="125" t="s">
        <v>118</v>
      </c>
      <c r="D8" s="125" t="s">
        <v>146</v>
      </c>
    </row>
  </sheetData>
  <sheetProtection algorithmName="SHA-512" hashValue="6hAbgE00/Wsh7/TgJXyrO3ZtLfrilBMJkbsavtgOaIML/ka04y+ydxrP9JxKBCeEFRTUoZP0H84HFQtMxxex4A==" saltValue="8UrHaaalLj9w05Tm4Y0y/A==" spinCount="100000" sheet="1" objects="1" scenarios="1" selectLockedCells="1" selectUnlockedCells="1"/>
  <mergeCells count="1">
    <mergeCell ref="A1:D1"/>
  </mergeCells>
  <pageMargins left="0.7" right="0.7" top="0.75" bottom="0.75" header="0.3" footer="0.3"/>
  <pageSetup orientation="landscape" r:id="rId1"/>
  <headerFooter>
    <oddHeader>&amp;LValley Tech Systems, Inc.&amp;R&amp;F</oddHeader>
    <oddFooter xml:space="preserve">&amp;C61701-00238
VTS Proprietary
Official and controlled versions of this document are ONLY on the VTS Corporate server
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Purchase Requisition</vt:lpstr>
      <vt:lpstr>Lookup</vt:lpstr>
      <vt:lpstr>Changelog</vt:lpstr>
      <vt:lpstr>AERequired</vt:lpstr>
      <vt:lpstr>AuthCalc</vt:lpstr>
      <vt:lpstr>AuthTitle</vt:lpstr>
      <vt:lpstr>ExpenseType</vt:lpstr>
      <vt:lpstr>'Purchase Requisition'!Print_Area</vt:lpstr>
      <vt:lpstr>'Purchase Requisition'!Print_Titles</vt:lpstr>
      <vt:lpstr>PropClass</vt:lpstr>
      <vt:lpstr>ShipInPlace</vt:lpstr>
      <vt:lpstr>Shipto</vt:lpstr>
      <vt:lpstr>SigReq</vt:lpstr>
      <vt:lpstr>SubClass</vt:lpstr>
      <vt:lpstr>Lookup!voteup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</dc:creator>
  <cp:lastModifiedBy>Joaquim Pedroza</cp:lastModifiedBy>
  <cp:lastPrinted>2023-04-18T19:53:04Z</cp:lastPrinted>
  <dcterms:created xsi:type="dcterms:W3CDTF">2001-07-31T15:23:22Z</dcterms:created>
  <dcterms:modified xsi:type="dcterms:W3CDTF">2023-09-20T18:29:46Z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TC060827891033</vt:lpwstr>
  </property>
  <property fmtid="{D5CDD505-2E9C-101B-9397-08002B2CF9AE}" pid="3" name="QualityManager">
    <vt:lpwstr>Keith Sheridan</vt:lpwstr>
  </property>
  <property fmtid="{D5CDD505-2E9C-101B-9397-08002B2CF9AE}" pid="4" name="AeroCMLead">
    <vt:lpwstr>Sara Decker</vt:lpwstr>
  </property>
  <property fmtid="{D5CDD505-2E9C-101B-9397-08002B2CF9AE}" pid="5" name="QMSCategory">
    <vt:lpwstr>Purchase Requisitions Procedure</vt:lpwstr>
  </property>
  <property fmtid="{D5CDD505-2E9C-101B-9397-08002B2CF9AE}" pid="6" name="ProgDocNumber">
    <vt:lpwstr>61701-00238</vt:lpwstr>
  </property>
  <property fmtid="{D5CDD505-2E9C-101B-9397-08002B2CF9AE}" pid="7" name="DocumentNumber">
    <vt:lpwstr>00238</vt:lpwstr>
  </property>
  <property fmtid="{D5CDD505-2E9C-101B-9397-08002B2CF9AE}" pid="8" name="ProgramNumber">
    <vt:lpwstr>61701</vt:lpwstr>
  </property>
  <property fmtid="{D5CDD505-2E9C-101B-9397-08002B2CF9AE}" pid="9" name="ContrApprReqd">
    <vt:lpwstr>NO</vt:lpwstr>
  </property>
  <property fmtid="{D5CDD505-2E9C-101B-9397-08002B2CF9AE}" pid="10" name="Description">
    <vt:lpwstr>Purchase Requisitions Template</vt:lpwstr>
  </property>
  <property fmtid="{D5CDD505-2E9C-101B-9397-08002B2CF9AE}" pid="11" name="Revision">
    <vt:lpwstr>F</vt:lpwstr>
  </property>
  <property fmtid="{D5CDD505-2E9C-101B-9397-08002B2CF9AE}" pid="12" name="ReleasedDate">
    <vt:lpwstr>May 03, 2023 9:09:04 AM</vt:lpwstr>
  </property>
  <property fmtid="{D5CDD505-2E9C-101B-9397-08002B2CF9AE}" pid="13" name="DateQMAppr">
    <vt:lpwstr>May 03, 2023 7:25:31 AM</vt:lpwstr>
  </property>
</Properties>
</file>